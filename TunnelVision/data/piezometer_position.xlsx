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CFB08679-59B4-4094-9F4F-98538B602F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iezometers_posi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</calcChain>
</file>

<file path=xl/sharedStrings.xml><?xml version="1.0" encoding="utf-8"?>
<sst xmlns="http://schemas.openxmlformats.org/spreadsheetml/2006/main" count="719" uniqueCount="280">
  <si>
    <t>15-1</t>
  </si>
  <si>
    <t>15-2</t>
  </si>
  <si>
    <t>362-1</t>
  </si>
  <si>
    <t>362-2</t>
  </si>
  <si>
    <t>571-1</t>
  </si>
  <si>
    <t>571-2</t>
  </si>
  <si>
    <t>580-1</t>
  </si>
  <si>
    <t>580-2</t>
  </si>
  <si>
    <t>712-1</t>
  </si>
  <si>
    <t>712-2</t>
  </si>
  <si>
    <t>HB-3720</t>
  </si>
  <si>
    <t>HB-3820</t>
  </si>
  <si>
    <t>HB-4120</t>
  </si>
  <si>
    <t>HB-4220</t>
  </si>
  <si>
    <t>HB-4320</t>
  </si>
  <si>
    <t>HB-4420</t>
  </si>
  <si>
    <t>HB-4520</t>
  </si>
  <si>
    <t>HB-4620</t>
  </si>
  <si>
    <t>HB-4720</t>
  </si>
  <si>
    <t>HB-4820</t>
  </si>
  <si>
    <t>HB-4920</t>
  </si>
  <si>
    <t>HB-5121</t>
  </si>
  <si>
    <t>K-1420</t>
  </si>
  <si>
    <t>K-1520</t>
  </si>
  <si>
    <t>K-1620</t>
  </si>
  <si>
    <t>K-1720</t>
  </si>
  <si>
    <t>K-1820</t>
  </si>
  <si>
    <t>K-1920</t>
  </si>
  <si>
    <t>K-2020</t>
  </si>
  <si>
    <t>K-2120</t>
  </si>
  <si>
    <t>K-2220</t>
  </si>
  <si>
    <t>K-2320</t>
  </si>
  <si>
    <t>K-2620</t>
  </si>
  <si>
    <t>K-2720</t>
  </si>
  <si>
    <t>K-2820</t>
  </si>
  <si>
    <t>K-2920</t>
  </si>
  <si>
    <t>K-3021</t>
  </si>
  <si>
    <t>PZ-2203-1</t>
  </si>
  <si>
    <t>PZ-2203-2</t>
  </si>
  <si>
    <t>PZ-2207-1</t>
  </si>
  <si>
    <t>PZ-2207-2</t>
  </si>
  <si>
    <t>PZ-3020-2</t>
  </si>
  <si>
    <t>PZ-3047-1</t>
  </si>
  <si>
    <t>PZ-3047-2</t>
  </si>
  <si>
    <t>PZ-3103-1</t>
  </si>
  <si>
    <t>PZ-3103-2</t>
  </si>
  <si>
    <t>PZ-3112-1</t>
  </si>
  <si>
    <t>PZ-3112-2</t>
  </si>
  <si>
    <t>PZ-3124-1</t>
  </si>
  <si>
    <t>PZ-3124-2</t>
  </si>
  <si>
    <t>PZ-3129-1</t>
  </si>
  <si>
    <t>PZ-3129-2</t>
  </si>
  <si>
    <t>PZ-4004-1</t>
  </si>
  <si>
    <t>PZ-4004-2</t>
  </si>
  <si>
    <t>PZ-4015-1</t>
  </si>
  <si>
    <t>PZ-4015-2</t>
  </si>
  <si>
    <t>PZ-4019-1</t>
  </si>
  <si>
    <t>PZ-4019-2</t>
  </si>
  <si>
    <t>PZ-4028-1</t>
  </si>
  <si>
    <t>PZ-4028-2</t>
  </si>
  <si>
    <t>PZ-4031-1</t>
  </si>
  <si>
    <t>PZ-4031-2</t>
  </si>
  <si>
    <t>PZ-4035-1</t>
  </si>
  <si>
    <t>PZ-4035-2</t>
  </si>
  <si>
    <t>PZ-5001-1</t>
  </si>
  <si>
    <t>PZ-5001-2</t>
  </si>
  <si>
    <t>PZ-5002-1</t>
  </si>
  <si>
    <t>PZ-5002-2</t>
  </si>
  <si>
    <t>PZ-5003</t>
  </si>
  <si>
    <t>PZ-5004-1</t>
  </si>
  <si>
    <t>PZ-5004-2</t>
  </si>
  <si>
    <t>PZ-5010-1</t>
  </si>
  <si>
    <t>PZ-5010-2</t>
  </si>
  <si>
    <t>PZ-6030-1</t>
  </si>
  <si>
    <t>PZ-6030-2</t>
  </si>
  <si>
    <t>PZ-6033-1</t>
  </si>
  <si>
    <t>PZ-6033-2</t>
  </si>
  <si>
    <t>PZ-9002</t>
  </si>
  <si>
    <t>PZ-9004</t>
  </si>
  <si>
    <t>PZ-9005</t>
  </si>
  <si>
    <t>PZ-9006</t>
  </si>
  <si>
    <t>PZ-9007</t>
  </si>
  <si>
    <t>PZ-9008</t>
  </si>
  <si>
    <t>PZ-9009</t>
  </si>
  <si>
    <t>PZ-9010</t>
  </si>
  <si>
    <t>PZ-9011</t>
  </si>
  <si>
    <t>PZ-9012</t>
  </si>
  <si>
    <t>PZ-9013</t>
  </si>
  <si>
    <t>PZ-9014</t>
  </si>
  <si>
    <t>PZ-9015</t>
  </si>
  <si>
    <t>PZ-9016</t>
  </si>
  <si>
    <t>PZ-9017</t>
  </si>
  <si>
    <t>PZ-9020-1</t>
  </si>
  <si>
    <t>PZ-9020-2</t>
  </si>
  <si>
    <t>PZ-9020-3</t>
  </si>
  <si>
    <t>PZ-9021</t>
  </si>
  <si>
    <t>PZ-9023</t>
  </si>
  <si>
    <t>PZ-9024</t>
  </si>
  <si>
    <t>PZ-9025</t>
  </si>
  <si>
    <t>PZ-9027</t>
  </si>
  <si>
    <t>PZ-9029</t>
  </si>
  <si>
    <t>PZ-9030</t>
  </si>
  <si>
    <t>PZ-9031</t>
  </si>
  <si>
    <t>PZ-9032</t>
  </si>
  <si>
    <t>PZ-9033</t>
  </si>
  <si>
    <t>PZ-9036</t>
  </si>
  <si>
    <t>PZ-9037</t>
  </si>
  <si>
    <t>PZ-9038</t>
  </si>
  <si>
    <t>PZ-9040</t>
  </si>
  <si>
    <t>PZ-9041</t>
  </si>
  <si>
    <t>PZ-9042</t>
  </si>
  <si>
    <t>PZ-9043</t>
  </si>
  <si>
    <t>PZ-9045</t>
  </si>
  <si>
    <t>PZ-9047</t>
  </si>
  <si>
    <t>PZ-9048</t>
  </si>
  <si>
    <t>PZ-9049</t>
  </si>
  <si>
    <t>PZ-9055-1</t>
  </si>
  <si>
    <t>PZ-9055-2</t>
  </si>
  <si>
    <t>PZ-9055-3</t>
  </si>
  <si>
    <t>PZ-9056</t>
  </si>
  <si>
    <t>PZ-9057</t>
  </si>
  <si>
    <t>PZ-9058</t>
  </si>
  <si>
    <t>PZ-9059</t>
  </si>
  <si>
    <t>PZ-9060-1</t>
  </si>
  <si>
    <t>PZ-9060-2</t>
  </si>
  <si>
    <t>PZ-9060-3</t>
  </si>
  <si>
    <t>PZ-9060-4</t>
  </si>
  <si>
    <t>PZ-9062</t>
  </si>
  <si>
    <t>PZ-9063</t>
  </si>
  <si>
    <t>PZ-9064</t>
  </si>
  <si>
    <t>PZ-9065</t>
  </si>
  <si>
    <t>PZ-9081</t>
  </si>
  <si>
    <t>PZ-9082</t>
  </si>
  <si>
    <t>Løsmasseboring</t>
  </si>
  <si>
    <t>Over berg, leirig sand</t>
  </si>
  <si>
    <t>Sandig leirig</t>
  </si>
  <si>
    <t>Overg berg, leire overgang grus/sand</t>
  </si>
  <si>
    <t>Sand</t>
  </si>
  <si>
    <t>Leirig sand</t>
  </si>
  <si>
    <t>2101PZ</t>
  </si>
  <si>
    <t>Over berg, grus/stein</t>
  </si>
  <si>
    <t>Over berg, siltig leire</t>
  </si>
  <si>
    <t>Sandig leire</t>
  </si>
  <si>
    <t>Over berg, sand/grus</t>
  </si>
  <si>
    <t>Leire siltig sandig</t>
  </si>
  <si>
    <t>Siltig leire</t>
  </si>
  <si>
    <t>Siltig sandig leire</t>
  </si>
  <si>
    <t>4,1</t>
  </si>
  <si>
    <t>Bergboring</t>
  </si>
  <si>
    <t>HB3020</t>
  </si>
  <si>
    <t>Berg</t>
  </si>
  <si>
    <t>HB3120-1</t>
  </si>
  <si>
    <t>HB3120-2</t>
  </si>
  <si>
    <t>HB3220-1</t>
  </si>
  <si>
    <t>HB3220-2</t>
  </si>
  <si>
    <t>HB3320</t>
  </si>
  <si>
    <t>HB3520-1</t>
  </si>
  <si>
    <t>HB3520-2</t>
  </si>
  <si>
    <t>HB3620</t>
  </si>
  <si>
    <t>Borehull i berg</t>
  </si>
  <si>
    <t>HB-3920</t>
  </si>
  <si>
    <t>HB-4020</t>
  </si>
  <si>
    <t> </t>
  </si>
  <si>
    <t>HB-5021</t>
  </si>
  <si>
    <t>HB-5121-2</t>
  </si>
  <si>
    <t>PZ01</t>
  </si>
  <si>
    <t>Ukjent</t>
  </si>
  <si>
    <t>PZ02</t>
  </si>
  <si>
    <t>PZ03</t>
  </si>
  <si>
    <t>PZ04</t>
  </si>
  <si>
    <t>PZ05</t>
  </si>
  <si>
    <t>PZ12-1</t>
  </si>
  <si>
    <t>PZ12-2</t>
  </si>
  <si>
    <t>PZ1401-1</t>
  </si>
  <si>
    <t>Over berg, leire</t>
  </si>
  <si>
    <t>PZ1401-2</t>
  </si>
  <si>
    <t>Leire</t>
  </si>
  <si>
    <t>PZ1502</t>
  </si>
  <si>
    <t>Over berg, leire sandig</t>
  </si>
  <si>
    <t>PZ1602-1</t>
  </si>
  <si>
    <t>PZ1602-2</t>
  </si>
  <si>
    <t>PZ1701-1</t>
  </si>
  <si>
    <t>PZ1701-2</t>
  </si>
  <si>
    <t>PZ2003-1</t>
  </si>
  <si>
    <t>PZ2003-2</t>
  </si>
  <si>
    <t>Leire sandig</t>
  </si>
  <si>
    <t>Leirig sand/grus</t>
  </si>
  <si>
    <t>4,2</t>
  </si>
  <si>
    <t>PZ-2211</t>
  </si>
  <si>
    <t>Over berg, leirig sand/grus</t>
  </si>
  <si>
    <t>PZ-3020</t>
  </si>
  <si>
    <t>Morene</t>
  </si>
  <si>
    <t>Sand/grus</t>
  </si>
  <si>
    <t>Over berg, sand</t>
  </si>
  <si>
    <t>Leire/silt</t>
  </si>
  <si>
    <t>Over berg, leire/silt</t>
  </si>
  <si>
    <t>Ca. 1m over berg, morene</t>
  </si>
  <si>
    <t>Sand/grus noe leire</t>
  </si>
  <si>
    <t>Siltig leire, noe sand</t>
  </si>
  <si>
    <t>Over berg, sandig leire</t>
  </si>
  <si>
    <t>Sandig/grusig</t>
  </si>
  <si>
    <t>Over berg, grus</t>
  </si>
  <si>
    <t>Sand/grus, over 23 m lagvis leire og grus til berg</t>
  </si>
  <si>
    <t>Sand/grus, 4 m morene til berg</t>
  </si>
  <si>
    <t>Over berg, sand leirig</t>
  </si>
  <si>
    <t>Over berg, morene/grus</t>
  </si>
  <si>
    <t>PZ-9051</t>
  </si>
  <si>
    <t>Over sand-/gruslag, leire</t>
  </si>
  <si>
    <t>PZ-9052</t>
  </si>
  <si>
    <t>Utført</t>
  </si>
  <si>
    <t>Over berg, morene</t>
  </si>
  <si>
    <t>PZ-9066</t>
  </si>
  <si>
    <t>PZ-9067</t>
  </si>
  <si>
    <t>PZ-9069</t>
  </si>
  <si>
    <t>PZ-9070</t>
  </si>
  <si>
    <t>Over steinlag, tørrskorpeleire.</t>
  </si>
  <si>
    <t>PZ-9071</t>
  </si>
  <si>
    <t>PZ-9072</t>
  </si>
  <si>
    <t>PZ-9073</t>
  </si>
  <si>
    <t>PZP10</t>
  </si>
  <si>
    <t>PZP11</t>
  </si>
  <si>
    <t>PZP13-1</t>
  </si>
  <si>
    <t>PZP13-2</t>
  </si>
  <si>
    <t>PZP14</t>
  </si>
  <si>
    <t>PZP15</t>
  </si>
  <si>
    <t>PZP16-1</t>
  </si>
  <si>
    <t>PZP16-2</t>
  </si>
  <si>
    <t>PZP17-1</t>
  </si>
  <si>
    <t>PZP17-2</t>
  </si>
  <si>
    <t>PZP19-1</t>
  </si>
  <si>
    <t>PZP19-2</t>
  </si>
  <si>
    <t>PZP21</t>
  </si>
  <si>
    <t>PZP22-1</t>
  </si>
  <si>
    <t>PZP22-2</t>
  </si>
  <si>
    <t>PZP23-1</t>
  </si>
  <si>
    <t>PZP23-2</t>
  </si>
  <si>
    <t>PZP24-1</t>
  </si>
  <si>
    <t>PZP24-2</t>
  </si>
  <si>
    <t>PZP25-1</t>
  </si>
  <si>
    <t>PZP25-2</t>
  </si>
  <si>
    <t>PZP26-1</t>
  </si>
  <si>
    <t>PZP26-2</t>
  </si>
  <si>
    <t>PZP27-1</t>
  </si>
  <si>
    <t>PZP27-2</t>
  </si>
  <si>
    <t>PZP28-1</t>
  </si>
  <si>
    <t>PZP28-2</t>
  </si>
  <si>
    <t>PZP29</t>
  </si>
  <si>
    <t>PZP30-1</t>
  </si>
  <si>
    <t>PZP30-2</t>
  </si>
  <si>
    <t>PZP31</t>
  </si>
  <si>
    <t>PZP32-1</t>
  </si>
  <si>
    <t>PZP32-2</t>
  </si>
  <si>
    <t>PZP33-1</t>
  </si>
  <si>
    <t>PZP33-2</t>
  </si>
  <si>
    <t>PZP34-1</t>
  </si>
  <si>
    <t>PZP34-2</t>
  </si>
  <si>
    <t>PZP35-1</t>
  </si>
  <si>
    <t>PZP35-2</t>
  </si>
  <si>
    <t>PZP38</t>
  </si>
  <si>
    <t>PZP40</t>
  </si>
  <si>
    <t>PZP9</t>
  </si>
  <si>
    <t>Sonic 02-1</t>
  </si>
  <si>
    <t>Sonic 02-2</t>
  </si>
  <si>
    <t>Sonic 02-3</t>
  </si>
  <si>
    <t>Sonic 02-4</t>
  </si>
  <si>
    <t>Sonic 02-5</t>
  </si>
  <si>
    <t>Sonic 02-6</t>
  </si>
  <si>
    <t>SBR2</t>
  </si>
  <si>
    <t>lon</t>
  </si>
  <si>
    <t>lat</t>
  </si>
  <si>
    <t>area</t>
  </si>
  <si>
    <t>method</t>
  </si>
  <si>
    <t>id</t>
  </si>
  <si>
    <t>partID</t>
  </si>
  <si>
    <t>x</t>
  </si>
  <si>
    <t>y</t>
  </si>
  <si>
    <t>z</t>
  </si>
  <si>
    <t>depth</t>
  </si>
  <si>
    <t>height_probe</t>
  </si>
  <si>
    <t>soil_classification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</si>
</sst>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0" tint="-0.1499374370555742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EE155-4B89-4B29-B95F-8C61517594A7}" name="Table1" displayName="Table1" ref="A1:L228" totalsRowShown="0" headerRowDxfId="15" dataDxfId="13" headerRowBorderDxfId="14" tableBorderDxfId="12">
  <autoFilter ref="A1:L228" xr:uid="{3A3EE155-4B89-4B29-B95F-8C61517594A7}"/>
  <sortState xmlns:xlrd2="http://schemas.microsoft.com/office/spreadsheetml/2017/richdata2" ref="A2:L228">
    <sortCondition ref="C1:C1048562"/>
  </sortState>
  <tableColumns count="12">
    <tableColumn id="1" xr3:uid="{E9F272D0-F3E1-4218-BC5C-357E603EAF30}" name="area" dataDxfId="11"/>
    <tableColumn id="2" xr3:uid="{673B5E72-23D5-4774-A05E-13596CFCCF20}" name="method" dataDxfId="10"/>
    <tableColumn id="3" xr3:uid="{FC26D27B-A1EC-4198-8F88-28339A71E13E}" name="id" dataDxfId="9"/>
    <tableColumn id="4" xr3:uid="{D2433535-23E7-4757-882E-0C2A641BF37D}" name="partID" dataDxfId="8"/>
    <tableColumn id="5" xr3:uid="{1CB8BF54-632D-45B9-A9AF-ECEB12065142}" name="x" dataDxfId="7"/>
    <tableColumn id="6" xr3:uid="{1E494542-E876-408F-A93B-175D0F810F77}" name="y" dataDxfId="6"/>
    <tableColumn id="7" xr3:uid="{515FFFA8-F79D-4A13-BF49-D7480846D286}" name="z" dataDxfId="5"/>
    <tableColumn id="25" xr3:uid="{CBB1FB3A-4D4E-4254-BB71-C5894D4E91DD}" name="lon" dataDxfId="4">
      <calculatedColumnFormula xml:space="preserve"> 0.0000178751*Table1[[#This Row],[x]] + 8.7126697145</calculatedColumnFormula>
    </tableColumn>
    <tableColumn id="24" xr3:uid="{1A255483-88BE-47D2-89BD-524EF6CC6AA8}" name="lat" dataDxfId="3">
      <calculatedColumnFormula xml:space="preserve"> 0.0000090591*Table1[[#This Row],[y]] + 48.9228858653</calculatedColumnFormula>
    </tableColumn>
    <tableColumn id="8" xr3:uid="{A189F5EE-1B3F-4C0A-8531-D291AC0C32BE}" name="depth" dataDxfId="2"/>
    <tableColumn id="9" xr3:uid="{618B9B98-D399-4EC4-B408-DABB87D01803}" name="height_probe" dataDxfId="1"/>
    <tableColumn id="12" xr3:uid="{54505B32-1F47-4C74-A209-5F4BE6225126}" name="soil_classific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ED94-B3A5-4AB0-A79F-CE9AD76A733F}">
  <dimension ref="A1:L228"/>
  <sheetViews>
    <sheetView tabSelected="1" workbookViewId="0">
      <pane ySplit="1" topLeftCell="A2" activePane="bottomLeft" state="frozen"/>
      <selection pane="bottomLeft" activeCell="J28" sqref="J28"/>
    </sheetView>
  </sheetViews>
  <sheetFormatPr defaultColWidth="8.88671875" defaultRowHeight="12" x14ac:dyDescent="0.25"/>
  <cols>
    <col min="1" max="1" width="11.5546875" style="4" customWidth="1"/>
    <col min="2" max="2" width="13.33203125" style="4" bestFit="1" customWidth="1"/>
    <col min="3" max="3" width="11.33203125" style="4" customWidth="1"/>
    <col min="4" max="4" width="12.88671875" style="8" customWidth="1"/>
    <col min="5" max="5" width="12.109375" style="9" customWidth="1"/>
    <col min="6" max="7" width="12" style="9" customWidth="1"/>
    <col min="8" max="9" width="12" style="12" customWidth="1"/>
    <col min="10" max="10" width="12.109375" style="9" customWidth="1"/>
    <col min="11" max="11" width="11.5546875" style="9" customWidth="1"/>
    <col min="12" max="12" width="38" style="4" bestFit="1" customWidth="1"/>
    <col min="13" max="16384" width="8.88671875" style="4"/>
  </cols>
  <sheetData>
    <row r="1" spans="1:12" x14ac:dyDescent="0.25">
      <c r="A1" s="1" t="s">
        <v>270</v>
      </c>
      <c r="B1" s="1" t="s">
        <v>271</v>
      </c>
      <c r="C1" s="1" t="s">
        <v>272</v>
      </c>
      <c r="D1" s="2" t="s">
        <v>273</v>
      </c>
      <c r="E1" s="3" t="s">
        <v>274</v>
      </c>
      <c r="F1" s="3" t="s">
        <v>275</v>
      </c>
      <c r="G1" s="3" t="s">
        <v>276</v>
      </c>
      <c r="H1" s="10" t="s">
        <v>268</v>
      </c>
      <c r="I1" s="10" t="s">
        <v>269</v>
      </c>
      <c r="J1" s="3" t="s">
        <v>277</v>
      </c>
      <c r="K1" s="3" t="s">
        <v>278</v>
      </c>
      <c r="L1" s="1" t="s">
        <v>279</v>
      </c>
    </row>
    <row r="2" spans="1:12" x14ac:dyDescent="0.25">
      <c r="A2" s="5">
        <v>1</v>
      </c>
      <c r="B2" s="5" t="s">
        <v>133</v>
      </c>
      <c r="C2" s="5">
        <v>190</v>
      </c>
      <c r="D2" s="6">
        <v>350563</v>
      </c>
      <c r="E2" s="7">
        <v>120308.21</v>
      </c>
      <c r="F2" s="7">
        <v>1214750.57</v>
      </c>
      <c r="G2" s="7">
        <v>140.86000000000001</v>
      </c>
      <c r="H2" s="11">
        <f xml:space="preserve"> 0.0000178751*Table1[[#This Row],[x]] + 8.7126697145</f>
        <v>10.863190999071001</v>
      </c>
      <c r="I2" s="11">
        <f xml:space="preserve"> 0.0000090591*Table1[[#This Row],[y]] + 48.9228858653</f>
        <v>59.927432753987006</v>
      </c>
      <c r="J2" s="7">
        <v>5.0999999999999996</v>
      </c>
      <c r="K2" s="7">
        <v>135.75999450683591</v>
      </c>
      <c r="L2" s="5" t="s">
        <v>134</v>
      </c>
    </row>
    <row r="3" spans="1:12" x14ac:dyDescent="0.25">
      <c r="A3" s="5">
        <v>5</v>
      </c>
      <c r="B3" s="5" t="s">
        <v>133</v>
      </c>
      <c r="C3" s="5">
        <v>922</v>
      </c>
      <c r="D3" s="6">
        <v>350561</v>
      </c>
      <c r="E3" s="7">
        <v>114893.48</v>
      </c>
      <c r="F3" s="7">
        <v>1216226.76</v>
      </c>
      <c r="G3" s="7">
        <v>84.38</v>
      </c>
      <c r="H3" s="11">
        <f xml:space="preserve"> 0.0000178751*Table1[[#This Row],[x]] + 8.7126697145</f>
        <v>10.766402158848001</v>
      </c>
      <c r="I3" s="11">
        <f xml:space="preserve"> 0.0000090591*Table1[[#This Row],[y]] + 48.9228858653</f>
        <v>59.940805706816001</v>
      </c>
      <c r="J3" s="7">
        <v>7.8</v>
      </c>
      <c r="K3" s="7">
        <v>76.579994201660156</v>
      </c>
      <c r="L3" s="5" t="s">
        <v>135</v>
      </c>
    </row>
    <row r="4" spans="1:12" x14ac:dyDescent="0.25">
      <c r="A4" s="5">
        <v>5</v>
      </c>
      <c r="B4" s="5" t="s">
        <v>133</v>
      </c>
      <c r="C4" s="5">
        <v>941</v>
      </c>
      <c r="D4" s="6">
        <v>350137</v>
      </c>
      <c r="E4" s="7">
        <v>114945.17</v>
      </c>
      <c r="F4" s="7">
        <v>1216265.99</v>
      </c>
      <c r="G4" s="7">
        <v>83.49</v>
      </c>
      <c r="H4" s="11">
        <f xml:space="preserve"> 0.0000178751*Table1[[#This Row],[x]] + 8.7126697145</f>
        <v>10.767326122767001</v>
      </c>
      <c r="I4" s="11">
        <f xml:space="preserve"> 0.0000090591*Table1[[#This Row],[y]] + 48.9228858653</f>
        <v>59.941161095308999</v>
      </c>
      <c r="J4" s="7">
        <v>4.5</v>
      </c>
      <c r="K4" s="7">
        <v>78.989997863769531</v>
      </c>
      <c r="L4" s="5" t="s">
        <v>136</v>
      </c>
    </row>
    <row r="5" spans="1:12" x14ac:dyDescent="0.25">
      <c r="A5" s="5">
        <v>1</v>
      </c>
      <c r="B5" s="5" t="s">
        <v>133</v>
      </c>
      <c r="C5" s="5" t="s">
        <v>0</v>
      </c>
      <c r="D5" s="6">
        <v>350564</v>
      </c>
      <c r="E5" s="7">
        <v>120436.8</v>
      </c>
      <c r="F5" s="7">
        <v>1214752.44</v>
      </c>
      <c r="G5" s="7">
        <v>148.58000000000001</v>
      </c>
      <c r="H5" s="11">
        <f xml:space="preserve"> 0.0000178751*Table1[[#This Row],[x]] + 8.7126697145</f>
        <v>10.86548955818</v>
      </c>
      <c r="I5" s="11">
        <f xml:space="preserve"> 0.0000090591*Table1[[#This Row],[y]] + 48.9228858653</f>
        <v>59.927449694504006</v>
      </c>
      <c r="J5" s="7">
        <v>11</v>
      </c>
      <c r="K5" s="7">
        <v>137.58000183105469</v>
      </c>
      <c r="L5" s="5" t="s">
        <v>137</v>
      </c>
    </row>
    <row r="6" spans="1:12" x14ac:dyDescent="0.25">
      <c r="A6" s="5">
        <v>1</v>
      </c>
      <c r="B6" s="5" t="s">
        <v>133</v>
      </c>
      <c r="C6" s="5" t="s">
        <v>1</v>
      </c>
      <c r="D6" s="6">
        <v>350565</v>
      </c>
      <c r="E6" s="7">
        <v>120436.8</v>
      </c>
      <c r="F6" s="7">
        <v>1214752.44</v>
      </c>
      <c r="G6" s="7">
        <v>148.58000000000001</v>
      </c>
      <c r="H6" s="11">
        <f xml:space="preserve"> 0.0000178751*Table1[[#This Row],[x]] + 8.7126697145</f>
        <v>10.86548955818</v>
      </c>
      <c r="I6" s="11">
        <f xml:space="preserve"> 0.0000090591*Table1[[#This Row],[y]] + 48.9228858653</f>
        <v>59.927449694504006</v>
      </c>
      <c r="J6" s="7">
        <v>5.0999999999999996</v>
      </c>
      <c r="K6" s="7">
        <v>143.47999572753909</v>
      </c>
      <c r="L6" s="5" t="s">
        <v>138</v>
      </c>
    </row>
    <row r="7" spans="1:12" x14ac:dyDescent="0.25">
      <c r="A7" s="5">
        <v>7</v>
      </c>
      <c r="B7" s="5" t="s">
        <v>133</v>
      </c>
      <c r="C7" s="5" t="s">
        <v>139</v>
      </c>
      <c r="D7" s="6"/>
      <c r="E7" s="7">
        <v>110152.41</v>
      </c>
      <c r="F7" s="7">
        <v>1216081.6599999999</v>
      </c>
      <c r="G7" s="7">
        <v>85.99</v>
      </c>
      <c r="H7" s="11">
        <f xml:space="preserve"> 0.0000178751*Table1[[#This Row],[x]] + 8.7126697145</f>
        <v>10.681655058491</v>
      </c>
      <c r="I7" s="11">
        <f xml:space="preserve"> 0.0000090591*Table1[[#This Row],[y]] + 48.9228858653</f>
        <v>59.939491231406002</v>
      </c>
      <c r="J7" s="7">
        <v>4.0999999999999996</v>
      </c>
      <c r="K7" s="7">
        <v>81.89</v>
      </c>
      <c r="L7" s="5" t="s">
        <v>140</v>
      </c>
    </row>
    <row r="8" spans="1:12" x14ac:dyDescent="0.25">
      <c r="A8" s="5">
        <v>2</v>
      </c>
      <c r="B8" s="5" t="s">
        <v>133</v>
      </c>
      <c r="C8" s="5" t="s">
        <v>2</v>
      </c>
      <c r="D8" s="6">
        <v>345716</v>
      </c>
      <c r="E8" s="7">
        <v>118902.97</v>
      </c>
      <c r="F8" s="7">
        <v>1215019.21</v>
      </c>
      <c r="G8" s="7">
        <v>97.91</v>
      </c>
      <c r="H8" s="11">
        <f xml:space="preserve"> 0.0000178751*Table1[[#This Row],[x]] + 8.7126697145</f>
        <v>10.838072193547001</v>
      </c>
      <c r="I8" s="11">
        <f xml:space="preserve"> 0.0000090591*Table1[[#This Row],[y]] + 48.9228858653</f>
        <v>59.929866390611004</v>
      </c>
      <c r="J8" s="7">
        <v>37.700000000000003</v>
      </c>
      <c r="K8" s="7">
        <v>60.210002899169922</v>
      </c>
      <c r="L8" s="5" t="s">
        <v>141</v>
      </c>
    </row>
    <row r="9" spans="1:12" x14ac:dyDescent="0.25">
      <c r="A9" s="5">
        <v>2</v>
      </c>
      <c r="B9" s="5" t="s">
        <v>133</v>
      </c>
      <c r="C9" s="5" t="s">
        <v>3</v>
      </c>
      <c r="D9" s="6">
        <v>348170</v>
      </c>
      <c r="E9" s="7">
        <v>118902.97</v>
      </c>
      <c r="F9" s="7">
        <v>1215019.21</v>
      </c>
      <c r="G9" s="7">
        <v>97.91</v>
      </c>
      <c r="H9" s="11">
        <f xml:space="preserve"> 0.0000178751*Table1[[#This Row],[x]] + 8.7126697145</f>
        <v>10.838072193547001</v>
      </c>
      <c r="I9" s="11">
        <f xml:space="preserve"> 0.0000090591*Table1[[#This Row],[y]] + 48.9228858653</f>
        <v>59.929866390611004</v>
      </c>
      <c r="J9" s="7">
        <v>25</v>
      </c>
      <c r="K9" s="7">
        <v>72.910003662109375</v>
      </c>
      <c r="L9" s="5" t="s">
        <v>142</v>
      </c>
    </row>
    <row r="10" spans="1:12" x14ac:dyDescent="0.25">
      <c r="A10" s="5">
        <v>3</v>
      </c>
      <c r="B10" s="5" t="s">
        <v>133</v>
      </c>
      <c r="C10" s="5" t="s">
        <v>4</v>
      </c>
      <c r="D10" s="6">
        <v>350558</v>
      </c>
      <c r="E10" s="7">
        <v>117927.09</v>
      </c>
      <c r="F10" s="7">
        <v>1215461.6000000001</v>
      </c>
      <c r="G10" s="7">
        <v>120.72</v>
      </c>
      <c r="H10" s="11">
        <f xml:space="preserve"> 0.0000178751*Table1[[#This Row],[x]] + 8.7126697145</f>
        <v>10.820628240959</v>
      </c>
      <c r="I10" s="11">
        <f xml:space="preserve"> 0.0000090591*Table1[[#This Row],[y]] + 48.9228858653</f>
        <v>59.933874045860001</v>
      </c>
      <c r="J10" s="7">
        <v>10</v>
      </c>
      <c r="K10" s="7">
        <v>110.7200012207031</v>
      </c>
      <c r="L10" s="5" t="s">
        <v>143</v>
      </c>
    </row>
    <row r="11" spans="1:12" x14ac:dyDescent="0.25">
      <c r="A11" s="5">
        <v>3</v>
      </c>
      <c r="B11" s="5" t="s">
        <v>133</v>
      </c>
      <c r="C11" s="5" t="s">
        <v>5</v>
      </c>
      <c r="D11" s="6">
        <v>350556</v>
      </c>
      <c r="E11" s="7">
        <v>117927.09</v>
      </c>
      <c r="F11" s="7">
        <v>1215461.6000000001</v>
      </c>
      <c r="G11" s="7">
        <v>120.72</v>
      </c>
      <c r="H11" s="11">
        <f xml:space="preserve"> 0.0000178751*Table1[[#This Row],[x]] + 8.7126697145</f>
        <v>10.820628240959</v>
      </c>
      <c r="I11" s="11">
        <f xml:space="preserve"> 0.0000090591*Table1[[#This Row],[y]] + 48.9228858653</f>
        <v>59.933874045860001</v>
      </c>
      <c r="J11" s="7">
        <v>5</v>
      </c>
      <c r="K11" s="7">
        <v>115.7200012207031</v>
      </c>
      <c r="L11" s="5" t="s">
        <v>144</v>
      </c>
    </row>
    <row r="12" spans="1:12" x14ac:dyDescent="0.25">
      <c r="A12" s="5">
        <v>3</v>
      </c>
      <c r="B12" s="5" t="s">
        <v>133</v>
      </c>
      <c r="C12" s="5" t="s">
        <v>6</v>
      </c>
      <c r="D12" s="6">
        <v>348814</v>
      </c>
      <c r="E12" s="7">
        <v>117478.37</v>
      </c>
      <c r="F12" s="7">
        <v>1215674.22</v>
      </c>
      <c r="G12" s="7">
        <v>127.53</v>
      </c>
      <c r="H12" s="11">
        <f xml:space="preserve"> 0.0000178751*Table1[[#This Row],[x]] + 8.7126697145</f>
        <v>10.812607326087001</v>
      </c>
      <c r="I12" s="11">
        <f xml:space="preserve"> 0.0000090591*Table1[[#This Row],[y]] + 48.9228858653</f>
        <v>59.935800191702</v>
      </c>
      <c r="J12" s="7">
        <v>24.9</v>
      </c>
      <c r="K12" s="7">
        <v>102.629997253418</v>
      </c>
      <c r="L12" s="5" t="s">
        <v>145</v>
      </c>
    </row>
    <row r="13" spans="1:12" x14ac:dyDescent="0.25">
      <c r="A13" s="5">
        <v>3</v>
      </c>
      <c r="B13" s="5" t="s">
        <v>133</v>
      </c>
      <c r="C13" s="5" t="s">
        <v>7</v>
      </c>
      <c r="D13" s="6">
        <v>350557</v>
      </c>
      <c r="E13" s="7">
        <v>117478.37</v>
      </c>
      <c r="F13" s="7">
        <v>1215674.22</v>
      </c>
      <c r="G13" s="7">
        <v>127.53</v>
      </c>
      <c r="H13" s="11">
        <f xml:space="preserve"> 0.0000178751*Table1[[#This Row],[x]] + 8.7126697145</f>
        <v>10.812607326087001</v>
      </c>
      <c r="I13" s="11">
        <f xml:space="preserve"> 0.0000090591*Table1[[#This Row],[y]] + 48.9228858653</f>
        <v>59.935800191702</v>
      </c>
      <c r="J13" s="7">
        <v>5</v>
      </c>
      <c r="K13" s="7">
        <v>122.5299987792969</v>
      </c>
      <c r="L13" s="5" t="s">
        <v>146</v>
      </c>
    </row>
    <row r="14" spans="1:12" x14ac:dyDescent="0.25">
      <c r="A14" s="5" t="s">
        <v>147</v>
      </c>
      <c r="B14" s="5" t="s">
        <v>133</v>
      </c>
      <c r="C14" s="5" t="s">
        <v>8</v>
      </c>
      <c r="D14" s="6">
        <v>350555</v>
      </c>
      <c r="E14" s="7">
        <v>116015.35</v>
      </c>
      <c r="F14" s="7">
        <v>1216317.67</v>
      </c>
      <c r="G14" s="7">
        <v>119.94</v>
      </c>
      <c r="H14" s="11">
        <f xml:space="preserve"> 0.0000178751*Table1[[#This Row],[x]] + 8.7126697145</f>
        <v>10.786455697285</v>
      </c>
      <c r="I14" s="11">
        <f xml:space="preserve"> 0.0000090591*Table1[[#This Row],[y]] + 48.9228858653</f>
        <v>59.941629269597001</v>
      </c>
      <c r="J14" s="7">
        <v>14.9</v>
      </c>
      <c r="K14" s="7">
        <v>105.0400009155273</v>
      </c>
      <c r="L14" s="5" t="s">
        <v>143</v>
      </c>
    </row>
    <row r="15" spans="1:12" x14ac:dyDescent="0.25">
      <c r="A15" s="5" t="s">
        <v>147</v>
      </c>
      <c r="B15" s="5" t="s">
        <v>133</v>
      </c>
      <c r="C15" s="5" t="s">
        <v>9</v>
      </c>
      <c r="D15" s="6">
        <v>350570</v>
      </c>
      <c r="E15" s="7">
        <v>116015.35</v>
      </c>
      <c r="F15" s="7">
        <v>1216317.67</v>
      </c>
      <c r="G15" s="7">
        <v>119.94</v>
      </c>
      <c r="H15" s="11">
        <f xml:space="preserve"> 0.0000178751*Table1[[#This Row],[x]] + 8.7126697145</f>
        <v>10.786455697285</v>
      </c>
      <c r="I15" s="11">
        <f xml:space="preserve"> 0.0000090591*Table1[[#This Row],[y]] + 48.9228858653</f>
        <v>59.941629269597001</v>
      </c>
      <c r="J15" s="7">
        <v>7</v>
      </c>
      <c r="K15" s="7">
        <v>112.94000244140619</v>
      </c>
      <c r="L15" s="5" t="s">
        <v>145</v>
      </c>
    </row>
    <row r="16" spans="1:12" x14ac:dyDescent="0.25">
      <c r="A16" s="5">
        <v>5</v>
      </c>
      <c r="B16" s="5" t="s">
        <v>148</v>
      </c>
      <c r="C16" s="5" t="s">
        <v>149</v>
      </c>
      <c r="D16" s="6"/>
      <c r="E16" s="7">
        <v>113490.78579999899</v>
      </c>
      <c r="F16" s="7">
        <v>1215999.0189999901</v>
      </c>
      <c r="G16" s="7">
        <v>76.7</v>
      </c>
      <c r="H16" s="11">
        <f xml:space="preserve"> 0.0000178751*Table1[[#This Row],[x]] + 8.7126697145</f>
        <v>10.741328859753562</v>
      </c>
      <c r="I16" s="11">
        <f xml:space="preserve"> 0.0000090591*Table1[[#This Row],[y]] + 48.9228858653</f>
        <v>59.938742578322817</v>
      </c>
      <c r="J16" s="7">
        <v>14</v>
      </c>
      <c r="K16" s="7">
        <v>62.7</v>
      </c>
      <c r="L16" s="5" t="s">
        <v>150</v>
      </c>
    </row>
    <row r="17" spans="1:12" x14ac:dyDescent="0.25">
      <c r="A17" s="5">
        <v>5</v>
      </c>
      <c r="B17" s="5" t="s">
        <v>148</v>
      </c>
      <c r="C17" s="5" t="s">
        <v>151</v>
      </c>
      <c r="D17" s="6"/>
      <c r="E17" s="7">
        <v>113997.3605</v>
      </c>
      <c r="F17" s="7">
        <v>1216007.5825999901</v>
      </c>
      <c r="G17" s="7">
        <v>75</v>
      </c>
      <c r="H17" s="11">
        <f xml:space="preserve"> 0.0000178751*Table1[[#This Row],[x]] + 8.7126697145</f>
        <v>10.75038393317355</v>
      </c>
      <c r="I17" s="11">
        <f xml:space="preserve"> 0.0000090591*Table1[[#This Row],[y]] + 48.9228858653</f>
        <v>59.938820156831575</v>
      </c>
      <c r="J17" s="7">
        <v>26</v>
      </c>
      <c r="K17" s="7">
        <v>49.4</v>
      </c>
      <c r="L17" s="5" t="s">
        <v>150</v>
      </c>
    </row>
    <row r="18" spans="1:12" x14ac:dyDescent="0.25">
      <c r="A18" s="5">
        <v>5</v>
      </c>
      <c r="B18" s="5" t="s">
        <v>148</v>
      </c>
      <c r="C18" s="5" t="s">
        <v>152</v>
      </c>
      <c r="D18" s="6"/>
      <c r="E18" s="7">
        <v>113997.3605</v>
      </c>
      <c r="F18" s="7">
        <v>1216007.5825999901</v>
      </c>
      <c r="G18" s="7">
        <v>75</v>
      </c>
      <c r="H18" s="11">
        <f xml:space="preserve"> 0.0000178751*Table1[[#This Row],[x]] + 8.7126697145</f>
        <v>10.75038393317355</v>
      </c>
      <c r="I18" s="11">
        <f xml:space="preserve"> 0.0000090591*Table1[[#This Row],[y]] + 48.9228858653</f>
        <v>59.938820156831575</v>
      </c>
      <c r="J18" s="7">
        <v>22</v>
      </c>
      <c r="K18" s="7">
        <v>53.4</v>
      </c>
      <c r="L18" s="5" t="s">
        <v>150</v>
      </c>
    </row>
    <row r="19" spans="1:12" x14ac:dyDescent="0.25">
      <c r="A19" s="5">
        <v>7</v>
      </c>
      <c r="B19" s="5" t="s">
        <v>148</v>
      </c>
      <c r="C19" s="5" t="s">
        <v>153</v>
      </c>
      <c r="D19" s="6"/>
      <c r="E19" s="7">
        <v>109634</v>
      </c>
      <c r="F19" s="7">
        <v>1216144</v>
      </c>
      <c r="G19" s="7">
        <v>95</v>
      </c>
      <c r="H19" s="11">
        <f xml:space="preserve"> 0.0000178751*Table1[[#This Row],[x]] + 8.7126697145</f>
        <v>10.6723884279</v>
      </c>
      <c r="I19" s="11">
        <f xml:space="preserve"> 0.0000090591*Table1[[#This Row],[y]] + 48.9228858653</f>
        <v>59.940055975700005</v>
      </c>
      <c r="J19" s="7">
        <v>26.5</v>
      </c>
      <c r="K19" s="7">
        <v>68.5</v>
      </c>
      <c r="L19" s="5" t="s">
        <v>150</v>
      </c>
    </row>
    <row r="20" spans="1:12" x14ac:dyDescent="0.25">
      <c r="A20" s="5">
        <v>7</v>
      </c>
      <c r="B20" s="5" t="s">
        <v>148</v>
      </c>
      <c r="C20" s="5" t="s">
        <v>154</v>
      </c>
      <c r="D20" s="6"/>
      <c r="E20" s="7">
        <v>109634</v>
      </c>
      <c r="F20" s="7">
        <v>1216144</v>
      </c>
      <c r="G20" s="7">
        <v>95</v>
      </c>
      <c r="H20" s="11">
        <f xml:space="preserve"> 0.0000178751*Table1[[#This Row],[x]] + 8.7126697145</f>
        <v>10.6723884279</v>
      </c>
      <c r="I20" s="11">
        <f xml:space="preserve"> 0.0000090591*Table1[[#This Row],[y]] + 48.9228858653</f>
        <v>59.940055975700005</v>
      </c>
      <c r="J20" s="7">
        <v>14.5</v>
      </c>
      <c r="K20" s="7">
        <v>80.5</v>
      </c>
      <c r="L20" s="5" t="s">
        <v>150</v>
      </c>
    </row>
    <row r="21" spans="1:12" x14ac:dyDescent="0.25">
      <c r="A21" s="5">
        <v>7</v>
      </c>
      <c r="B21" s="5" t="s">
        <v>148</v>
      </c>
      <c r="C21" s="5" t="s">
        <v>155</v>
      </c>
      <c r="D21" s="6"/>
      <c r="E21" s="7">
        <v>111860</v>
      </c>
      <c r="F21" s="7">
        <v>1216148</v>
      </c>
      <c r="G21" s="7">
        <v>74.3</v>
      </c>
      <c r="H21" s="11">
        <f xml:space="preserve"> 0.0000178751*Table1[[#This Row],[x]] + 8.7126697145</f>
        <v>10.712178400500001</v>
      </c>
      <c r="I21" s="11">
        <f xml:space="preserve"> 0.0000090591*Table1[[#This Row],[y]] + 48.9228858653</f>
        <v>59.940092212100005</v>
      </c>
      <c r="J21" s="7">
        <v>19</v>
      </c>
      <c r="K21" s="7">
        <v>55.3</v>
      </c>
      <c r="L21" s="5" t="s">
        <v>150</v>
      </c>
    </row>
    <row r="22" spans="1:12" x14ac:dyDescent="0.25">
      <c r="A22" s="5">
        <v>6</v>
      </c>
      <c r="B22" s="5" t="s">
        <v>148</v>
      </c>
      <c r="C22" s="5" t="s">
        <v>156</v>
      </c>
      <c r="D22" s="6"/>
      <c r="E22" s="7">
        <v>112116</v>
      </c>
      <c r="F22" s="7">
        <v>1216241</v>
      </c>
      <c r="G22" s="7">
        <v>81</v>
      </c>
      <c r="H22" s="11">
        <f xml:space="preserve"> 0.0000178751*Table1[[#This Row],[x]] + 8.7126697145</f>
        <v>10.7167544261</v>
      </c>
      <c r="I22" s="11">
        <f xml:space="preserve"> 0.0000090591*Table1[[#This Row],[y]] + 48.9228858653</f>
        <v>59.9409347084</v>
      </c>
      <c r="J22" s="7">
        <v>26.4</v>
      </c>
      <c r="K22" s="7">
        <v>54.6</v>
      </c>
      <c r="L22" s="5" t="s">
        <v>150</v>
      </c>
    </row>
    <row r="23" spans="1:12" x14ac:dyDescent="0.25">
      <c r="A23" s="5">
        <v>6</v>
      </c>
      <c r="B23" s="5" t="s">
        <v>148</v>
      </c>
      <c r="C23" s="5" t="s">
        <v>157</v>
      </c>
      <c r="D23" s="6"/>
      <c r="E23" s="7">
        <v>112116</v>
      </c>
      <c r="F23" s="7">
        <v>1216241</v>
      </c>
      <c r="G23" s="7">
        <v>81</v>
      </c>
      <c r="H23" s="11">
        <f xml:space="preserve"> 0.0000178751*Table1[[#This Row],[x]] + 8.7126697145</f>
        <v>10.7167544261</v>
      </c>
      <c r="I23" s="11">
        <f xml:space="preserve"> 0.0000090591*Table1[[#This Row],[y]] + 48.9228858653</f>
        <v>59.9409347084</v>
      </c>
      <c r="J23" s="7">
        <v>26.4</v>
      </c>
      <c r="K23" s="7">
        <v>54.6</v>
      </c>
      <c r="L23" s="5" t="s">
        <v>150</v>
      </c>
    </row>
    <row r="24" spans="1:12" x14ac:dyDescent="0.25">
      <c r="A24" s="5">
        <v>6</v>
      </c>
      <c r="B24" s="5" t="s">
        <v>148</v>
      </c>
      <c r="C24" s="5" t="s">
        <v>158</v>
      </c>
      <c r="D24" s="6"/>
      <c r="E24" s="7">
        <v>111945</v>
      </c>
      <c r="F24" s="7">
        <v>1216272</v>
      </c>
      <c r="G24" s="7">
        <v>81.7</v>
      </c>
      <c r="H24" s="11">
        <f xml:space="preserve"> 0.0000178751*Table1[[#This Row],[x]] + 8.7126697145</f>
        <v>10.713697784000001</v>
      </c>
      <c r="I24" s="11">
        <f xml:space="preserve"> 0.0000090591*Table1[[#This Row],[y]] + 48.9228858653</f>
        <v>59.941215540500004</v>
      </c>
      <c r="J24" s="7">
        <v>19</v>
      </c>
      <c r="K24" s="7">
        <v>62.7</v>
      </c>
      <c r="L24" s="5" t="s">
        <v>150</v>
      </c>
    </row>
    <row r="25" spans="1:12" x14ac:dyDescent="0.25">
      <c r="A25" s="5">
        <v>2</v>
      </c>
      <c r="B25" s="5" t="s">
        <v>148</v>
      </c>
      <c r="C25" s="5" t="s">
        <v>10</v>
      </c>
      <c r="D25" s="6">
        <v>37273</v>
      </c>
      <c r="E25" s="7">
        <v>119324.981</v>
      </c>
      <c r="F25" s="7">
        <v>1214921.6100000001</v>
      </c>
      <c r="G25" s="7">
        <v>96.7</v>
      </c>
      <c r="H25" s="11">
        <f xml:space="preserve"> 0.0000178751*Table1[[#This Row],[x]] + 8.7126697145</f>
        <v>10.845615682373101</v>
      </c>
      <c r="I25" s="11">
        <f xml:space="preserve"> 0.0000090591*Table1[[#This Row],[y]] + 48.9228858653</f>
        <v>59.928982222451005</v>
      </c>
      <c r="J25" s="7">
        <v>16.200000000000003</v>
      </c>
      <c r="K25" s="7">
        <v>80.5</v>
      </c>
      <c r="L25" s="5" t="s">
        <v>159</v>
      </c>
    </row>
    <row r="26" spans="1:12" x14ac:dyDescent="0.25">
      <c r="A26" s="5" t="s">
        <v>147</v>
      </c>
      <c r="B26" s="5" t="s">
        <v>148</v>
      </c>
      <c r="C26" s="5" t="s">
        <v>11</v>
      </c>
      <c r="D26" s="6">
        <v>42891</v>
      </c>
      <c r="E26" s="7">
        <v>115997.951</v>
      </c>
      <c r="F26" s="7">
        <v>1216260.6100000001</v>
      </c>
      <c r="G26" s="7">
        <v>118.4</v>
      </c>
      <c r="H26" s="11">
        <f xml:space="preserve"> 0.0000178751*Table1[[#This Row],[x]] + 8.7126697145</f>
        <v>10.786144688420102</v>
      </c>
      <c r="I26" s="11">
        <f xml:space="preserve"> 0.0000090591*Table1[[#This Row],[y]] + 48.9228858653</f>
        <v>59.941112357351003</v>
      </c>
      <c r="J26" s="7">
        <v>23.700000000000003</v>
      </c>
      <c r="K26" s="7">
        <v>94.7</v>
      </c>
      <c r="L26" s="5" t="s">
        <v>150</v>
      </c>
    </row>
    <row r="27" spans="1:12" x14ac:dyDescent="0.25">
      <c r="A27" s="5">
        <v>2</v>
      </c>
      <c r="B27" s="5" t="s">
        <v>148</v>
      </c>
      <c r="C27" s="5" t="s">
        <v>160</v>
      </c>
      <c r="D27" s="6">
        <v>37165</v>
      </c>
      <c r="E27" s="7">
        <v>119568.811</v>
      </c>
      <c r="F27" s="7">
        <v>1214703.6299999999</v>
      </c>
      <c r="G27" s="7"/>
      <c r="H27" s="11">
        <f xml:space="preserve"> 0.0000178751*Table1[[#This Row],[x]] + 8.7126697145</f>
        <v>10.849974168006101</v>
      </c>
      <c r="I27" s="11">
        <f xml:space="preserve"> 0.0000090591*Table1[[#This Row],[y]] + 48.9228858653</f>
        <v>59.927007519832998</v>
      </c>
      <c r="J27" s="7"/>
      <c r="K27" s="7"/>
      <c r="L27" s="5" t="s">
        <v>159</v>
      </c>
    </row>
    <row r="28" spans="1:12" x14ac:dyDescent="0.25">
      <c r="A28" s="5">
        <v>2</v>
      </c>
      <c r="B28" s="5" t="s">
        <v>148</v>
      </c>
      <c r="C28" s="5" t="s">
        <v>161</v>
      </c>
      <c r="D28" s="6">
        <v>37190</v>
      </c>
      <c r="E28" s="7">
        <v>119582.16099999999</v>
      </c>
      <c r="F28" s="7">
        <v>1214699.47</v>
      </c>
      <c r="G28" s="7"/>
      <c r="H28" s="11">
        <f xml:space="preserve"> 0.0000178751*Table1[[#This Row],[x]] + 8.7126697145</f>
        <v>10.8502128005911</v>
      </c>
      <c r="I28" s="11">
        <f xml:space="preserve"> 0.0000090591*Table1[[#This Row],[y]] + 48.9228858653</f>
        <v>59.926969833977004</v>
      </c>
      <c r="J28" s="7"/>
      <c r="K28" s="7"/>
      <c r="L28" s="5" t="s">
        <v>159</v>
      </c>
    </row>
    <row r="29" spans="1:12" x14ac:dyDescent="0.25">
      <c r="A29" s="5">
        <v>2</v>
      </c>
      <c r="B29" s="5" t="s">
        <v>148</v>
      </c>
      <c r="C29" s="5" t="s">
        <v>12</v>
      </c>
      <c r="D29" s="6" t="s">
        <v>162</v>
      </c>
      <c r="E29" s="7">
        <v>119596</v>
      </c>
      <c r="F29" s="7">
        <v>1214699.8999999999</v>
      </c>
      <c r="G29" s="7">
        <v>93.3</v>
      </c>
      <c r="H29" s="11">
        <f xml:space="preserve"> 0.0000178751*Table1[[#This Row],[x]] + 8.7126697145</f>
        <v>10.8504601741</v>
      </c>
      <c r="I29" s="11">
        <f xml:space="preserve"> 0.0000090591*Table1[[#This Row],[y]] + 48.9228858653</f>
        <v>59.926973729389999</v>
      </c>
      <c r="J29" s="7">
        <v>10</v>
      </c>
      <c r="K29" s="7">
        <v>83.3</v>
      </c>
      <c r="L29" s="5" t="s">
        <v>159</v>
      </c>
    </row>
    <row r="30" spans="1:12" x14ac:dyDescent="0.25">
      <c r="A30" s="5">
        <v>2</v>
      </c>
      <c r="B30" s="5" t="s">
        <v>148</v>
      </c>
      <c r="C30" s="5" t="s">
        <v>13</v>
      </c>
      <c r="D30" s="6">
        <v>37275</v>
      </c>
      <c r="E30" s="7">
        <v>119607.63099999999</v>
      </c>
      <c r="F30" s="7">
        <v>1214694.75</v>
      </c>
      <c r="G30" s="7">
        <v>92.9</v>
      </c>
      <c r="H30" s="11">
        <f xml:space="preserve"> 0.0000178751*Table1[[#This Row],[x]] + 8.7126697145</f>
        <v>10.8506680793881</v>
      </c>
      <c r="I30" s="11">
        <f xml:space="preserve"> 0.0000090591*Table1[[#This Row],[y]] + 48.9228858653</f>
        <v>59.926927075025006</v>
      </c>
      <c r="J30" s="7">
        <v>17</v>
      </c>
      <c r="K30" s="7">
        <v>75.900000000000006</v>
      </c>
      <c r="L30" s="5" t="s">
        <v>159</v>
      </c>
    </row>
    <row r="31" spans="1:12" x14ac:dyDescent="0.25">
      <c r="A31" s="5">
        <v>2</v>
      </c>
      <c r="B31" s="5" t="s">
        <v>148</v>
      </c>
      <c r="C31" s="5" t="s">
        <v>14</v>
      </c>
      <c r="D31" s="6">
        <v>42914</v>
      </c>
      <c r="E31" s="7">
        <v>119625.47199999999</v>
      </c>
      <c r="F31" s="7">
        <v>1214687.3400000001</v>
      </c>
      <c r="G31" s="7">
        <v>92.9</v>
      </c>
      <c r="H31" s="11">
        <f xml:space="preserve"> 0.0000178751*Table1[[#This Row],[x]] + 8.7126697145</f>
        <v>10.8509869890472</v>
      </c>
      <c r="I31" s="11">
        <f xml:space="preserve"> 0.0000090591*Table1[[#This Row],[y]] + 48.9228858653</f>
        <v>59.926859947094002</v>
      </c>
      <c r="J31" s="7">
        <v>12.600000000000009</v>
      </c>
      <c r="K31" s="7">
        <v>80.3</v>
      </c>
      <c r="L31" s="5" t="s">
        <v>159</v>
      </c>
    </row>
    <row r="32" spans="1:12" x14ac:dyDescent="0.25">
      <c r="A32" s="5">
        <v>2</v>
      </c>
      <c r="B32" s="5" t="s">
        <v>148</v>
      </c>
      <c r="C32" s="5" t="s">
        <v>15</v>
      </c>
      <c r="D32" s="6">
        <v>47439</v>
      </c>
      <c r="E32" s="7">
        <v>119638.291</v>
      </c>
      <c r="F32" s="7">
        <v>1214679.05</v>
      </c>
      <c r="G32" s="7">
        <v>93.1</v>
      </c>
      <c r="H32" s="11">
        <f xml:space="preserve"> 0.0000178751*Table1[[#This Row],[x]] + 8.7126697145</f>
        <v>10.8512161299541</v>
      </c>
      <c r="I32" s="11">
        <f xml:space="preserve"> 0.0000090591*Table1[[#This Row],[y]] + 48.9228858653</f>
        <v>59.926784847155005</v>
      </c>
      <c r="J32" s="7">
        <v>10</v>
      </c>
      <c r="K32" s="7">
        <v>83.1</v>
      </c>
      <c r="L32" s="5" t="s">
        <v>159</v>
      </c>
    </row>
    <row r="33" spans="1:12" x14ac:dyDescent="0.25">
      <c r="A33" s="5">
        <v>2</v>
      </c>
      <c r="B33" s="5" t="s">
        <v>148</v>
      </c>
      <c r="C33" s="5" t="s">
        <v>16</v>
      </c>
      <c r="D33" s="6" t="s">
        <v>162</v>
      </c>
      <c r="E33" s="7">
        <v>119667.906</v>
      </c>
      <c r="F33" s="7">
        <v>1214661.3700000001</v>
      </c>
      <c r="G33" s="7">
        <v>93.6</v>
      </c>
      <c r="H33" s="11">
        <f xml:space="preserve"> 0.0000178751*Table1[[#This Row],[x]] + 8.7126697145</f>
        <v>10.8517455010406</v>
      </c>
      <c r="I33" s="11">
        <f xml:space="preserve"> 0.0000090591*Table1[[#This Row],[y]] + 48.9228858653</f>
        <v>59.926624682267004</v>
      </c>
      <c r="J33" s="7">
        <v>10</v>
      </c>
      <c r="K33" s="7">
        <v>83.6</v>
      </c>
      <c r="L33" s="5" t="s">
        <v>159</v>
      </c>
    </row>
    <row r="34" spans="1:12" x14ac:dyDescent="0.25">
      <c r="A34" s="5">
        <v>3</v>
      </c>
      <c r="B34" s="5" t="s">
        <v>148</v>
      </c>
      <c r="C34" s="5" t="s">
        <v>17</v>
      </c>
      <c r="D34" s="6">
        <v>46949</v>
      </c>
      <c r="E34" s="7">
        <v>116989.86599999999</v>
      </c>
      <c r="F34" s="7">
        <v>1215958.72</v>
      </c>
      <c r="G34" s="7">
        <v>144</v>
      </c>
      <c r="H34" s="11">
        <f xml:space="preserve"> 0.0000178751*Table1[[#This Row],[x]] + 8.7126697145</f>
        <v>10.803875268236601</v>
      </c>
      <c r="I34" s="11">
        <f xml:space="preserve"> 0.0000090591*Table1[[#This Row],[y]] + 48.9228858653</f>
        <v>59.938377505651999</v>
      </c>
      <c r="J34" s="7">
        <v>28</v>
      </c>
      <c r="K34" s="7">
        <v>116</v>
      </c>
      <c r="L34" s="5" t="s">
        <v>150</v>
      </c>
    </row>
    <row r="35" spans="1:12" x14ac:dyDescent="0.25">
      <c r="A35" s="5">
        <v>5</v>
      </c>
      <c r="B35" s="5" t="s">
        <v>148</v>
      </c>
      <c r="C35" s="5" t="s">
        <v>18</v>
      </c>
      <c r="D35" s="6">
        <v>36915</v>
      </c>
      <c r="E35" s="7">
        <v>114800.02499999999</v>
      </c>
      <c r="F35" s="7">
        <v>1216194.32</v>
      </c>
      <c r="G35" s="7">
        <v>90</v>
      </c>
      <c r="H35" s="11">
        <f xml:space="preserve"> 0.0000178751*Table1[[#This Row],[x]] + 8.7126697145</f>
        <v>10.764731641377502</v>
      </c>
      <c r="I35" s="11">
        <f xml:space="preserve"> 0.0000090591*Table1[[#This Row],[y]] + 48.9228858653</f>
        <v>59.940511829612007</v>
      </c>
      <c r="J35" s="7">
        <v>38.799999999999997</v>
      </c>
      <c r="K35" s="7">
        <v>51.2</v>
      </c>
      <c r="L35" s="5" t="s">
        <v>150</v>
      </c>
    </row>
    <row r="36" spans="1:12" x14ac:dyDescent="0.25">
      <c r="A36" s="5">
        <v>1</v>
      </c>
      <c r="B36" s="5" t="s">
        <v>148</v>
      </c>
      <c r="C36" s="5" t="s">
        <v>19</v>
      </c>
      <c r="D36" s="6" t="s">
        <v>162</v>
      </c>
      <c r="E36" s="7">
        <v>120706.38</v>
      </c>
      <c r="F36" s="7">
        <v>1213882.71</v>
      </c>
      <c r="G36" s="7"/>
      <c r="H36" s="11">
        <f xml:space="preserve"> 0.0000178751*Table1[[#This Row],[x]] + 8.7126697145</f>
        <v>10.870308327638</v>
      </c>
      <c r="I36" s="11">
        <f xml:space="preserve"> 0.0000090591*Table1[[#This Row],[y]] + 48.9228858653</f>
        <v>59.919570723461</v>
      </c>
      <c r="J36" s="7"/>
      <c r="K36" s="7"/>
      <c r="L36" s="5" t="s">
        <v>150</v>
      </c>
    </row>
    <row r="37" spans="1:12" x14ac:dyDescent="0.25">
      <c r="A37" s="5">
        <v>1</v>
      </c>
      <c r="B37" s="5" t="s">
        <v>148</v>
      </c>
      <c r="C37" s="5" t="s">
        <v>20</v>
      </c>
      <c r="D37" s="6" t="s">
        <v>162</v>
      </c>
      <c r="E37" s="7">
        <v>120707.012</v>
      </c>
      <c r="F37" s="7">
        <v>1213881.79</v>
      </c>
      <c r="G37" s="7"/>
      <c r="H37" s="11">
        <f xml:space="preserve"> 0.0000178751*Table1[[#This Row],[x]] + 8.7126697145</f>
        <v>10.870319624701201</v>
      </c>
      <c r="I37" s="11">
        <f xml:space="preserve"> 0.0000090591*Table1[[#This Row],[y]] + 48.9228858653</f>
        <v>59.919562389089002</v>
      </c>
      <c r="J37" s="7"/>
      <c r="K37" s="7"/>
      <c r="L37" s="5" t="s">
        <v>150</v>
      </c>
    </row>
    <row r="38" spans="1:12" x14ac:dyDescent="0.25">
      <c r="A38" s="5"/>
      <c r="B38" s="5" t="s">
        <v>148</v>
      </c>
      <c r="C38" s="5" t="s">
        <v>163</v>
      </c>
      <c r="D38" s="6"/>
      <c r="E38" s="7">
        <v>112885.1</v>
      </c>
      <c r="F38" s="7">
        <v>1216022.3999999999</v>
      </c>
      <c r="G38" s="7"/>
      <c r="H38" s="11">
        <f xml:space="preserve"> 0.0000178751*Table1[[#This Row],[x]] + 8.7126697145</f>
        <v>10.73050216551</v>
      </c>
      <c r="I38" s="11">
        <f xml:space="preserve"> 0.0000090591*Table1[[#This Row],[y]] + 48.9228858653</f>
        <v>59.938954389140001</v>
      </c>
      <c r="J38" s="7"/>
      <c r="K38" s="7"/>
      <c r="L38" s="5"/>
    </row>
    <row r="39" spans="1:12" x14ac:dyDescent="0.25">
      <c r="A39" s="5">
        <v>5</v>
      </c>
      <c r="B39" s="5" t="s">
        <v>148</v>
      </c>
      <c r="C39" s="5" t="s">
        <v>21</v>
      </c>
      <c r="D39" s="6">
        <v>37282</v>
      </c>
      <c r="E39" s="7">
        <v>114450</v>
      </c>
      <c r="F39" s="7">
        <v>1216065</v>
      </c>
      <c r="G39" s="7">
        <v>73.2</v>
      </c>
      <c r="H39" s="11">
        <f xml:space="preserve"> 0.0000178751*Table1[[#This Row],[x]] + 8.7126697145</f>
        <v>10.7584749095</v>
      </c>
      <c r="I39" s="11">
        <f xml:space="preserve"> 0.0000090591*Table1[[#This Row],[y]] + 48.9228858653</f>
        <v>59.939340306800005</v>
      </c>
      <c r="J39" s="7">
        <v>37</v>
      </c>
      <c r="K39" s="7">
        <v>36.200000000000003</v>
      </c>
      <c r="L39" s="5" t="s">
        <v>150</v>
      </c>
    </row>
    <row r="40" spans="1:12" x14ac:dyDescent="0.25">
      <c r="A40" s="5">
        <v>5</v>
      </c>
      <c r="B40" s="5" t="s">
        <v>148</v>
      </c>
      <c r="C40" s="5" t="s">
        <v>164</v>
      </c>
      <c r="D40" s="6"/>
      <c r="E40" s="7">
        <v>114450</v>
      </c>
      <c r="F40" s="7">
        <v>1216065</v>
      </c>
      <c r="G40" s="7">
        <v>73.2</v>
      </c>
      <c r="H40" s="11">
        <f xml:space="preserve"> 0.0000178751*Table1[[#This Row],[x]] + 8.7126697145</f>
        <v>10.7584749095</v>
      </c>
      <c r="I40" s="11">
        <f xml:space="preserve"> 0.0000090591*Table1[[#This Row],[y]] + 48.9228858653</f>
        <v>59.939340306800005</v>
      </c>
      <c r="J40" s="7">
        <v>20</v>
      </c>
      <c r="K40" s="7">
        <v>53.2</v>
      </c>
      <c r="L40" s="5" t="s">
        <v>150</v>
      </c>
    </row>
    <row r="41" spans="1:12" x14ac:dyDescent="0.25">
      <c r="A41" s="5">
        <v>2</v>
      </c>
      <c r="B41" s="5" t="s">
        <v>148</v>
      </c>
      <c r="C41" s="5" t="s">
        <v>22</v>
      </c>
      <c r="D41" s="6">
        <v>37058</v>
      </c>
      <c r="E41" s="7">
        <v>119826.76700000001</v>
      </c>
      <c r="F41" s="7">
        <v>1214576.42</v>
      </c>
      <c r="G41" s="7">
        <v>99.7</v>
      </c>
      <c r="H41" s="11">
        <f xml:space="preserve"> 0.0000178751*Table1[[#This Row],[x]] + 8.7126697145</f>
        <v>10.854585157301701</v>
      </c>
      <c r="I41" s="11">
        <f xml:space="preserve"> 0.0000090591*Table1[[#This Row],[y]] + 48.9228858653</f>
        <v>59.925855111722001</v>
      </c>
      <c r="J41" s="7">
        <v>15.5</v>
      </c>
      <c r="K41" s="7">
        <v>84.2</v>
      </c>
      <c r="L41" s="5" t="s">
        <v>150</v>
      </c>
    </row>
    <row r="42" spans="1:12" x14ac:dyDescent="0.25">
      <c r="A42" s="5">
        <v>2</v>
      </c>
      <c r="B42" s="5" t="s">
        <v>148</v>
      </c>
      <c r="C42" s="5" t="s">
        <v>23</v>
      </c>
      <c r="D42" s="6">
        <v>37141</v>
      </c>
      <c r="E42" s="7">
        <v>119833.277</v>
      </c>
      <c r="F42" s="7">
        <v>1214570.75</v>
      </c>
      <c r="G42" s="7">
        <v>100.3</v>
      </c>
      <c r="H42" s="11">
        <f xml:space="preserve"> 0.0000178751*Table1[[#This Row],[x]] + 8.7126697145</f>
        <v>10.854701524202701</v>
      </c>
      <c r="I42" s="11">
        <f xml:space="preserve"> 0.0000090591*Table1[[#This Row],[y]] + 48.9228858653</f>
        <v>59.925803746625</v>
      </c>
      <c r="J42" s="7">
        <v>15.5</v>
      </c>
      <c r="K42" s="7">
        <v>84.8</v>
      </c>
      <c r="L42" s="5" t="s">
        <v>150</v>
      </c>
    </row>
    <row r="43" spans="1:12" x14ac:dyDescent="0.25">
      <c r="A43" s="5">
        <v>2</v>
      </c>
      <c r="B43" s="5" t="s">
        <v>148</v>
      </c>
      <c r="C43" s="5" t="s">
        <v>24</v>
      </c>
      <c r="D43" s="6">
        <v>35897</v>
      </c>
      <c r="E43" s="7">
        <v>119214.644</v>
      </c>
      <c r="F43" s="7">
        <v>1214838.98</v>
      </c>
      <c r="G43" s="7">
        <v>84.3</v>
      </c>
      <c r="H43" s="11">
        <f xml:space="preserve"> 0.0000178751*Table1[[#This Row],[x]] + 8.7126697145</f>
        <v>10.843643397464401</v>
      </c>
      <c r="I43" s="11">
        <f xml:space="preserve"> 0.0000090591*Table1[[#This Row],[y]] + 48.9228858653</f>
        <v>59.928233669017999</v>
      </c>
      <c r="J43" s="7">
        <v>7</v>
      </c>
      <c r="K43" s="7">
        <v>77.3</v>
      </c>
      <c r="L43" s="5" t="s">
        <v>159</v>
      </c>
    </row>
    <row r="44" spans="1:12" x14ac:dyDescent="0.25">
      <c r="A44" s="5">
        <v>2</v>
      </c>
      <c r="B44" s="5" t="s">
        <v>148</v>
      </c>
      <c r="C44" s="5" t="s">
        <v>25</v>
      </c>
      <c r="D44" s="6">
        <v>43231</v>
      </c>
      <c r="E44" s="7">
        <v>118315.5</v>
      </c>
      <c r="F44" s="7">
        <v>1215264.9099999999</v>
      </c>
      <c r="G44" s="7">
        <v>116.3</v>
      </c>
      <c r="H44" s="11">
        <f xml:space="preserve"> 0.0000178751*Table1[[#This Row],[x]] + 8.7126697145</f>
        <v>10.82757110855</v>
      </c>
      <c r="I44" s="11">
        <f xml:space="preserve"> 0.0000090591*Table1[[#This Row],[y]] + 48.9228858653</f>
        <v>59.932092211481006</v>
      </c>
      <c r="J44" s="7">
        <v>17.200000000000003</v>
      </c>
      <c r="K44" s="7">
        <v>99.1</v>
      </c>
      <c r="L44" s="5" t="s">
        <v>150</v>
      </c>
    </row>
    <row r="45" spans="1:12" x14ac:dyDescent="0.25">
      <c r="A45" s="5">
        <v>2</v>
      </c>
      <c r="B45" s="5" t="s">
        <v>148</v>
      </c>
      <c r="C45" s="5" t="s">
        <v>26</v>
      </c>
      <c r="D45" s="6">
        <v>49001</v>
      </c>
      <c r="E45" s="7">
        <v>118277.337</v>
      </c>
      <c r="F45" s="7">
        <v>1215259.82</v>
      </c>
      <c r="G45" s="7">
        <v>119.2</v>
      </c>
      <c r="H45" s="11">
        <f xml:space="preserve"> 0.0000178751*Table1[[#This Row],[x]] + 8.7126697145</f>
        <v>10.826888941108701</v>
      </c>
      <c r="I45" s="11">
        <f xml:space="preserve"> 0.0000090591*Table1[[#This Row],[y]] + 48.9228858653</f>
        <v>59.932046100662006</v>
      </c>
      <c r="J45" s="7">
        <v>17</v>
      </c>
      <c r="K45" s="7">
        <v>102.2</v>
      </c>
      <c r="L45" s="5" t="s">
        <v>150</v>
      </c>
    </row>
    <row r="46" spans="1:12" x14ac:dyDescent="0.25">
      <c r="A46" s="5">
        <v>3</v>
      </c>
      <c r="B46" s="5" t="s">
        <v>148</v>
      </c>
      <c r="C46" s="5" t="s">
        <v>27</v>
      </c>
      <c r="D46" s="6">
        <v>42804</v>
      </c>
      <c r="E46" s="7">
        <v>117659.52</v>
      </c>
      <c r="F46" s="7">
        <v>1215575.49</v>
      </c>
      <c r="G46" s="7">
        <v>125.3</v>
      </c>
      <c r="H46" s="11">
        <f xml:space="preserve"> 0.0000178751*Table1[[#This Row],[x]] + 8.7126697145</f>
        <v>10.815845400452002</v>
      </c>
      <c r="I46" s="11">
        <f xml:space="preserve"> 0.0000090591*Table1[[#This Row],[y]] + 48.9228858653</f>
        <v>59.934905786759003</v>
      </c>
      <c r="J46" s="7">
        <v>23</v>
      </c>
      <c r="K46" s="7">
        <v>102.3</v>
      </c>
      <c r="L46" s="5" t="s">
        <v>150</v>
      </c>
    </row>
    <row r="47" spans="1:12" x14ac:dyDescent="0.25">
      <c r="A47" s="5">
        <v>3</v>
      </c>
      <c r="B47" s="5" t="s">
        <v>148</v>
      </c>
      <c r="C47" s="5" t="s">
        <v>28</v>
      </c>
      <c r="D47" s="6">
        <v>47038</v>
      </c>
      <c r="E47" s="7">
        <v>116855.648</v>
      </c>
      <c r="F47" s="7">
        <v>1215923.1100000001</v>
      </c>
      <c r="G47" s="7">
        <v>143.1</v>
      </c>
      <c r="H47" s="11">
        <f xml:space="preserve"> 0.0000178751*Table1[[#This Row],[x]] + 8.7126697145</f>
        <v>10.801476108064801</v>
      </c>
      <c r="I47" s="11">
        <f xml:space="preserve"> 0.0000090591*Table1[[#This Row],[y]] + 48.9228858653</f>
        <v>59.938054911101005</v>
      </c>
      <c r="J47" s="7">
        <v>31.349999999999994</v>
      </c>
      <c r="K47" s="7">
        <v>111.75</v>
      </c>
      <c r="L47" s="5" t="s">
        <v>150</v>
      </c>
    </row>
    <row r="48" spans="1:12" x14ac:dyDescent="0.25">
      <c r="A48" s="5">
        <v>8</v>
      </c>
      <c r="B48" s="5" t="s">
        <v>148</v>
      </c>
      <c r="C48" s="5" t="s">
        <v>29</v>
      </c>
      <c r="D48" s="6">
        <v>42882</v>
      </c>
      <c r="E48" s="7">
        <v>116670.103</v>
      </c>
      <c r="F48" s="7">
        <v>1217329.67</v>
      </c>
      <c r="G48" s="7">
        <v>216.2</v>
      </c>
      <c r="H48" s="11">
        <f xml:space="preserve"> 0.0000178751*Table1[[#This Row],[x]] + 8.7126697145</f>
        <v>10.798159472635302</v>
      </c>
      <c r="I48" s="11">
        <f xml:space="preserve"> 0.0000090591*Table1[[#This Row],[y]] + 48.9228858653</f>
        <v>59.950797078797002</v>
      </c>
      <c r="J48" s="7">
        <v>38</v>
      </c>
      <c r="K48" s="7">
        <v>178.2</v>
      </c>
      <c r="L48" s="5" t="s">
        <v>150</v>
      </c>
    </row>
    <row r="49" spans="1:12" x14ac:dyDescent="0.25">
      <c r="A49" s="5" t="s">
        <v>147</v>
      </c>
      <c r="B49" s="5" t="s">
        <v>148</v>
      </c>
      <c r="C49" s="5" t="s">
        <v>30</v>
      </c>
      <c r="D49" s="6" t="s">
        <v>162</v>
      </c>
      <c r="E49" s="7">
        <v>115891.501</v>
      </c>
      <c r="F49" s="7">
        <v>1216329.94</v>
      </c>
      <c r="G49" s="7">
        <v>118.7</v>
      </c>
      <c r="H49" s="11">
        <f xml:space="preserve"> 0.0000178751*Table1[[#This Row],[x]] + 8.7126697145</f>
        <v>10.7842418840251</v>
      </c>
      <c r="I49" s="11">
        <f xml:space="preserve"> 0.0000090591*Table1[[#This Row],[y]] + 48.9228858653</f>
        <v>59.941740424754002</v>
      </c>
      <c r="J49" s="7"/>
      <c r="K49" s="7"/>
      <c r="L49" s="5" t="s">
        <v>150</v>
      </c>
    </row>
    <row r="50" spans="1:12" x14ac:dyDescent="0.25">
      <c r="A50" s="5">
        <v>5</v>
      </c>
      <c r="B50" s="5" t="s">
        <v>148</v>
      </c>
      <c r="C50" s="5" t="s">
        <v>31</v>
      </c>
      <c r="D50" s="6">
        <v>43229</v>
      </c>
      <c r="E50" s="7">
        <v>114913.493</v>
      </c>
      <c r="F50" s="7">
        <v>1216215.19</v>
      </c>
      <c r="G50" s="7"/>
      <c r="H50" s="11">
        <f xml:space="preserve"> 0.0000178751*Table1[[#This Row],[x]] + 8.7126697145</f>
        <v>10.7667598932243</v>
      </c>
      <c r="I50" s="11">
        <f xml:space="preserve"> 0.0000090591*Table1[[#This Row],[y]] + 48.9228858653</f>
        <v>59.940700893029003</v>
      </c>
      <c r="J50" s="7">
        <v>32</v>
      </c>
      <c r="K50" s="7"/>
      <c r="L50" s="5" t="s">
        <v>150</v>
      </c>
    </row>
    <row r="51" spans="1:12" x14ac:dyDescent="0.25">
      <c r="A51" s="5">
        <v>5</v>
      </c>
      <c r="B51" s="5" t="s">
        <v>148</v>
      </c>
      <c r="C51" s="5" t="s">
        <v>32</v>
      </c>
      <c r="D51" s="6">
        <v>37204</v>
      </c>
      <c r="E51" s="7">
        <v>113942.537</v>
      </c>
      <c r="F51" s="7">
        <v>1215889.1100000001</v>
      </c>
      <c r="G51" s="7">
        <v>72.599999999999994</v>
      </c>
      <c r="H51" s="11">
        <f xml:space="preserve"> 0.0000178751*Table1[[#This Row],[x]] + 8.7126697145</f>
        <v>10.749403957628701</v>
      </c>
      <c r="I51" s="11">
        <f xml:space="preserve"> 0.0000090591*Table1[[#This Row],[y]] + 48.9228858653</f>
        <v>59.937746901701004</v>
      </c>
      <c r="J51" s="7">
        <v>15.499999999999993</v>
      </c>
      <c r="K51" s="7">
        <v>57.1</v>
      </c>
      <c r="L51" s="5" t="s">
        <v>150</v>
      </c>
    </row>
    <row r="52" spans="1:12" x14ac:dyDescent="0.25">
      <c r="A52" s="5">
        <v>6</v>
      </c>
      <c r="B52" s="5" t="s">
        <v>148</v>
      </c>
      <c r="C52" s="5" t="s">
        <v>33</v>
      </c>
      <c r="D52" s="6">
        <v>46744</v>
      </c>
      <c r="E52" s="7">
        <v>112863.996</v>
      </c>
      <c r="F52" s="7">
        <v>1216112.9099999999</v>
      </c>
      <c r="G52" s="7">
        <v>92.6</v>
      </c>
      <c r="H52" s="11">
        <f xml:space="preserve"> 0.0000178751*Table1[[#This Row],[x]] + 8.7126697145</f>
        <v>10.730124929399601</v>
      </c>
      <c r="I52" s="11">
        <f xml:space="preserve"> 0.0000090591*Table1[[#This Row],[y]] + 48.9228858653</f>
        <v>59.939774328281004</v>
      </c>
      <c r="J52" s="7">
        <v>17.5</v>
      </c>
      <c r="K52" s="7">
        <v>75.099999999999994</v>
      </c>
      <c r="L52" s="5" t="s">
        <v>150</v>
      </c>
    </row>
    <row r="53" spans="1:12" x14ac:dyDescent="0.25">
      <c r="A53" s="5">
        <v>7</v>
      </c>
      <c r="B53" s="5" t="s">
        <v>148</v>
      </c>
      <c r="C53" s="5" t="s">
        <v>34</v>
      </c>
      <c r="D53" s="6">
        <v>37042</v>
      </c>
      <c r="E53" s="7">
        <v>111663.284</v>
      </c>
      <c r="F53" s="7">
        <v>1215892.3</v>
      </c>
      <c r="G53" s="7">
        <v>71.900000000000006</v>
      </c>
      <c r="H53" s="11">
        <f xml:space="preserve"> 0.0000178751*Table1[[#This Row],[x]] + 8.7126697145</f>
        <v>10.7086620823284</v>
      </c>
      <c r="I53" s="11">
        <f xml:space="preserve"> 0.0000090591*Table1[[#This Row],[y]] + 48.9228858653</f>
        <v>59.93777580023</v>
      </c>
      <c r="J53" s="7">
        <v>17</v>
      </c>
      <c r="K53" s="7">
        <v>54.900000000000006</v>
      </c>
      <c r="L53" s="5" t="s">
        <v>150</v>
      </c>
    </row>
    <row r="54" spans="1:12" x14ac:dyDescent="0.25">
      <c r="A54" s="5">
        <v>7</v>
      </c>
      <c r="B54" s="5" t="s">
        <v>148</v>
      </c>
      <c r="C54" s="5" t="s">
        <v>35</v>
      </c>
      <c r="D54" s="6">
        <v>42894</v>
      </c>
      <c r="E54" s="7">
        <v>110417.70699999999</v>
      </c>
      <c r="F54" s="7">
        <v>1216134.3500000001</v>
      </c>
      <c r="G54" s="7">
        <v>79</v>
      </c>
      <c r="H54" s="11">
        <f xml:space="preserve"> 0.0000178751*Table1[[#This Row],[x]] + 8.7126697145</f>
        <v>10.6863972688957</v>
      </c>
      <c r="I54" s="11">
        <f xml:space="preserve"> 0.0000090591*Table1[[#This Row],[y]] + 48.9228858653</f>
        <v>59.939968555385008</v>
      </c>
      <c r="J54" s="7">
        <v>16.100000000000001</v>
      </c>
      <c r="K54" s="7">
        <v>62.9</v>
      </c>
      <c r="L54" s="5" t="s">
        <v>150</v>
      </c>
    </row>
    <row r="55" spans="1:12" x14ac:dyDescent="0.25">
      <c r="A55" s="5">
        <v>1</v>
      </c>
      <c r="B55" s="5" t="s">
        <v>148</v>
      </c>
      <c r="C55" s="5" t="s">
        <v>36</v>
      </c>
      <c r="D55" s="6">
        <v>46627</v>
      </c>
      <c r="E55" s="7">
        <v>120445.549</v>
      </c>
      <c r="F55" s="7">
        <v>1213851.3700000001</v>
      </c>
      <c r="G55" s="7">
        <v>201.2</v>
      </c>
      <c r="H55" s="11">
        <f xml:space="preserve"> 0.0000178751*Table1[[#This Row],[x]] + 8.7126697145</f>
        <v>10.865645947429901</v>
      </c>
      <c r="I55" s="11">
        <f xml:space="preserve"> 0.0000090591*Table1[[#This Row],[y]] + 48.9228858653</f>
        <v>59.919286811267</v>
      </c>
      <c r="J55" s="7">
        <v>35</v>
      </c>
      <c r="K55" s="7">
        <v>166.2</v>
      </c>
      <c r="L55" s="5" t="s">
        <v>150</v>
      </c>
    </row>
    <row r="56" spans="1:12" x14ac:dyDescent="0.25">
      <c r="A56" s="5">
        <v>7</v>
      </c>
      <c r="B56" s="5" t="s">
        <v>133</v>
      </c>
      <c r="C56" s="5" t="s">
        <v>165</v>
      </c>
      <c r="D56" s="6"/>
      <c r="E56" s="7">
        <v>109304.3</v>
      </c>
      <c r="F56" s="7">
        <v>1216335.8999999999</v>
      </c>
      <c r="G56" s="7">
        <v>116.4</v>
      </c>
      <c r="H56" s="11">
        <f xml:space="preserve"> 0.0000178751*Table1[[#This Row],[x]] + 8.7126697145</f>
        <v>10.666495007430001</v>
      </c>
      <c r="I56" s="11">
        <f xml:space="preserve"> 0.0000090591*Table1[[#This Row],[y]] + 48.9228858653</f>
        <v>59.94179441699</v>
      </c>
      <c r="J56" s="7">
        <v>10.7</v>
      </c>
      <c r="K56" s="7">
        <v>105.7</v>
      </c>
      <c r="L56" s="5" t="s">
        <v>166</v>
      </c>
    </row>
    <row r="57" spans="1:12" x14ac:dyDescent="0.25">
      <c r="A57" s="5">
        <v>7</v>
      </c>
      <c r="B57" s="5" t="s">
        <v>133</v>
      </c>
      <c r="C57" s="5" t="s">
        <v>167</v>
      </c>
      <c r="D57" s="6"/>
      <c r="E57" s="7">
        <v>109118.3</v>
      </c>
      <c r="F57" s="7">
        <v>1216080.8999999999</v>
      </c>
      <c r="G57" s="7">
        <v>128</v>
      </c>
      <c r="H57" s="11">
        <f xml:space="preserve"> 0.0000178751*Table1[[#This Row],[x]] + 8.7126697145</f>
        <v>10.66317023883</v>
      </c>
      <c r="I57" s="11">
        <f xml:space="preserve"> 0.0000090591*Table1[[#This Row],[y]] + 48.9228858653</f>
        <v>59.939484346490005</v>
      </c>
      <c r="J57" s="7">
        <v>2.4</v>
      </c>
      <c r="K57" s="7">
        <v>125.6</v>
      </c>
      <c r="L57" s="5" t="s">
        <v>166</v>
      </c>
    </row>
    <row r="58" spans="1:12" x14ac:dyDescent="0.25">
      <c r="A58" s="5">
        <v>7</v>
      </c>
      <c r="B58" s="5" t="s">
        <v>133</v>
      </c>
      <c r="C58" s="5" t="s">
        <v>168</v>
      </c>
      <c r="D58" s="6"/>
      <c r="E58" s="7">
        <v>109288.1</v>
      </c>
      <c r="F58" s="7">
        <v>1216135.6000000001</v>
      </c>
      <c r="G58" s="7">
        <v>120.1</v>
      </c>
      <c r="H58" s="11">
        <f xml:space="preserve"> 0.0000178751*Table1[[#This Row],[x]] + 8.7126697145</f>
        <v>10.666205430810001</v>
      </c>
      <c r="I58" s="11">
        <f xml:space="preserve"> 0.0000090591*Table1[[#This Row],[y]] + 48.9228858653</f>
        <v>59.939979879260001</v>
      </c>
      <c r="J58" s="7">
        <v>8.3000000000000007</v>
      </c>
      <c r="K58" s="7">
        <v>111.8</v>
      </c>
      <c r="L58" s="5" t="s">
        <v>166</v>
      </c>
    </row>
    <row r="59" spans="1:12" x14ac:dyDescent="0.25">
      <c r="A59" s="5">
        <v>7</v>
      </c>
      <c r="B59" s="5" t="s">
        <v>133</v>
      </c>
      <c r="C59" s="5" t="s">
        <v>169</v>
      </c>
      <c r="D59" s="6"/>
      <c r="E59" s="7">
        <v>108692.7</v>
      </c>
      <c r="F59" s="7">
        <v>1216095.6000000001</v>
      </c>
      <c r="G59" s="7">
        <v>134</v>
      </c>
      <c r="H59" s="11">
        <f xml:space="preserve"> 0.0000178751*Table1[[#This Row],[x]] + 8.7126697145</f>
        <v>10.65556259627</v>
      </c>
      <c r="I59" s="11">
        <f xml:space="preserve"> 0.0000090591*Table1[[#This Row],[y]] + 48.9228858653</f>
        <v>59.939617515260004</v>
      </c>
      <c r="J59" s="7">
        <v>10.4</v>
      </c>
      <c r="K59" s="7">
        <v>123.6</v>
      </c>
      <c r="L59" s="5" t="s">
        <v>166</v>
      </c>
    </row>
    <row r="60" spans="1:12" x14ac:dyDescent="0.25">
      <c r="A60" s="5">
        <v>7</v>
      </c>
      <c r="B60" s="5" t="s">
        <v>133</v>
      </c>
      <c r="C60" s="5" t="s">
        <v>170</v>
      </c>
      <c r="D60" s="6"/>
      <c r="E60" s="7">
        <v>108918.1</v>
      </c>
      <c r="F60" s="7">
        <v>1215980.3</v>
      </c>
      <c r="G60" s="7">
        <v>147.1</v>
      </c>
      <c r="H60" s="11">
        <f xml:space="preserve"> 0.0000178751*Table1[[#This Row],[x]] + 8.7126697145</f>
        <v>10.65959164381</v>
      </c>
      <c r="I60" s="11">
        <f xml:space="preserve"> 0.0000090591*Table1[[#This Row],[y]] + 48.9228858653</f>
        <v>59.938573001030001</v>
      </c>
      <c r="J60" s="7">
        <v>1.2</v>
      </c>
      <c r="K60" s="7">
        <v>145.9</v>
      </c>
      <c r="L60" s="5" t="s">
        <v>166</v>
      </c>
    </row>
    <row r="61" spans="1:12" x14ac:dyDescent="0.25">
      <c r="A61" s="5">
        <v>7</v>
      </c>
      <c r="B61" s="5" t="s">
        <v>133</v>
      </c>
      <c r="C61" s="5" t="s">
        <v>171</v>
      </c>
      <c r="D61" s="6"/>
      <c r="E61" s="7">
        <v>108756.7</v>
      </c>
      <c r="F61" s="7">
        <v>1216330.3</v>
      </c>
      <c r="G61" s="7">
        <v>139.1</v>
      </c>
      <c r="H61" s="11">
        <f xml:space="preserve"> 0.0000178751*Table1[[#This Row],[x]] + 8.7126697145</f>
        <v>10.656706602670001</v>
      </c>
      <c r="I61" s="11">
        <f xml:space="preserve"> 0.0000090591*Table1[[#This Row],[y]] + 48.9228858653</f>
        <v>59.941743686030001</v>
      </c>
      <c r="J61" s="7">
        <v>12.7</v>
      </c>
      <c r="K61" s="7">
        <v>126.39999999999999</v>
      </c>
      <c r="L61" s="5" t="s">
        <v>166</v>
      </c>
    </row>
    <row r="62" spans="1:12" x14ac:dyDescent="0.25">
      <c r="A62" s="5">
        <v>7</v>
      </c>
      <c r="B62" s="5" t="s">
        <v>133</v>
      </c>
      <c r="C62" s="5" t="s">
        <v>172</v>
      </c>
      <c r="D62" s="6"/>
      <c r="E62" s="7">
        <v>108756.7</v>
      </c>
      <c r="F62" s="7">
        <v>1216330.3</v>
      </c>
      <c r="G62" s="7">
        <v>139.1</v>
      </c>
      <c r="H62" s="11">
        <f xml:space="preserve"> 0.0000178751*Table1[[#This Row],[x]] + 8.7126697145</f>
        <v>10.656706602670001</v>
      </c>
      <c r="I62" s="11">
        <f xml:space="preserve"> 0.0000090591*Table1[[#This Row],[y]] + 48.9228858653</f>
        <v>59.941743686030001</v>
      </c>
      <c r="J62" s="7">
        <v>7.7</v>
      </c>
      <c r="K62" s="7">
        <v>131.4</v>
      </c>
      <c r="L62" s="5" t="s">
        <v>166</v>
      </c>
    </row>
    <row r="63" spans="1:12" x14ac:dyDescent="0.25">
      <c r="A63" s="5">
        <v>5</v>
      </c>
      <c r="B63" s="5" t="s">
        <v>133</v>
      </c>
      <c r="C63" s="5" t="s">
        <v>173</v>
      </c>
      <c r="D63" s="6"/>
      <c r="E63" s="7">
        <v>113168.18</v>
      </c>
      <c r="F63" s="7">
        <v>1215734.8400000001</v>
      </c>
      <c r="G63" s="7">
        <v>72.5</v>
      </c>
      <c r="H63" s="11">
        <f xml:space="preserve"> 0.0000178751*Table1[[#This Row],[x]] + 8.7126697145</f>
        <v>10.735562248818001</v>
      </c>
      <c r="I63" s="11">
        <f xml:space="preserve"> 0.0000090591*Table1[[#This Row],[y]] + 48.9228858653</f>
        <v>59.936349354344003</v>
      </c>
      <c r="J63" s="7">
        <v>24.65</v>
      </c>
      <c r="K63" s="7">
        <v>47.85</v>
      </c>
      <c r="L63" s="5" t="s">
        <v>174</v>
      </c>
    </row>
    <row r="64" spans="1:12" x14ac:dyDescent="0.25">
      <c r="A64" s="5">
        <v>5</v>
      </c>
      <c r="B64" s="5" t="s">
        <v>133</v>
      </c>
      <c r="C64" s="5" t="s">
        <v>175</v>
      </c>
      <c r="D64" s="6"/>
      <c r="E64" s="7">
        <v>113168.18</v>
      </c>
      <c r="F64" s="7">
        <v>1215734.8400000001</v>
      </c>
      <c r="G64" s="7">
        <v>72.5</v>
      </c>
      <c r="H64" s="11">
        <f xml:space="preserve"> 0.0000178751*Table1[[#This Row],[x]] + 8.7126697145</f>
        <v>10.735562248818001</v>
      </c>
      <c r="I64" s="11">
        <f xml:space="preserve"> 0.0000090591*Table1[[#This Row],[y]] + 48.9228858653</f>
        <v>59.936349354344003</v>
      </c>
      <c r="J64" s="7">
        <v>12</v>
      </c>
      <c r="K64" s="7">
        <v>60.5</v>
      </c>
      <c r="L64" s="5" t="s">
        <v>176</v>
      </c>
    </row>
    <row r="65" spans="1:12" x14ac:dyDescent="0.25">
      <c r="A65" s="5">
        <v>6</v>
      </c>
      <c r="B65" s="5" t="s">
        <v>133</v>
      </c>
      <c r="C65" s="5" t="s">
        <v>177</v>
      </c>
      <c r="D65" s="6"/>
      <c r="E65" s="7">
        <v>112740.32</v>
      </c>
      <c r="F65" s="7">
        <v>1216071.0900000001</v>
      </c>
      <c r="G65" s="7">
        <v>87.18</v>
      </c>
      <c r="H65" s="11">
        <f xml:space="preserve"> 0.0000178751*Table1[[#This Row],[x]] + 8.7126697145</f>
        <v>10.727914208532001</v>
      </c>
      <c r="I65" s="11">
        <f xml:space="preserve"> 0.0000090591*Table1[[#This Row],[y]] + 48.9228858653</f>
        <v>59.939395476719</v>
      </c>
      <c r="J65" s="7">
        <v>6.5</v>
      </c>
      <c r="K65" s="7">
        <v>80.680000000000007</v>
      </c>
      <c r="L65" s="5" t="s">
        <v>178</v>
      </c>
    </row>
    <row r="66" spans="1:12" x14ac:dyDescent="0.25">
      <c r="A66" s="5">
        <v>6</v>
      </c>
      <c r="B66" s="5" t="s">
        <v>133</v>
      </c>
      <c r="C66" s="5" t="s">
        <v>179</v>
      </c>
      <c r="D66" s="6"/>
      <c r="E66" s="7">
        <v>112254.57</v>
      </c>
      <c r="F66" s="7">
        <v>1216170.73</v>
      </c>
      <c r="G66" s="7">
        <v>89.03</v>
      </c>
      <c r="H66" s="11">
        <f xml:space="preserve"> 0.0000178751*Table1[[#This Row],[x]] + 8.7126697145</f>
        <v>10.719231378707001</v>
      </c>
      <c r="I66" s="11">
        <f xml:space="preserve"> 0.0000090591*Table1[[#This Row],[y]] + 48.9228858653</f>
        <v>59.940298125443</v>
      </c>
      <c r="J66" s="7">
        <v>12</v>
      </c>
      <c r="K66" s="7">
        <v>77.03</v>
      </c>
      <c r="L66" s="5" t="s">
        <v>174</v>
      </c>
    </row>
    <row r="67" spans="1:12" x14ac:dyDescent="0.25">
      <c r="A67" s="5">
        <v>6</v>
      </c>
      <c r="B67" s="5" t="s">
        <v>133</v>
      </c>
      <c r="C67" s="5" t="s">
        <v>180</v>
      </c>
      <c r="D67" s="6"/>
      <c r="E67" s="7">
        <v>112254.57</v>
      </c>
      <c r="F67" s="7">
        <v>1216170.73</v>
      </c>
      <c r="G67" s="7">
        <v>89.03</v>
      </c>
      <c r="H67" s="11">
        <f xml:space="preserve"> 0.0000178751*Table1[[#This Row],[x]] + 8.7126697145</f>
        <v>10.719231378707001</v>
      </c>
      <c r="I67" s="11">
        <f xml:space="preserve"> 0.0000090591*Table1[[#This Row],[y]] + 48.9228858653</f>
        <v>59.940298125443</v>
      </c>
      <c r="J67" s="7">
        <v>7</v>
      </c>
      <c r="K67" s="7">
        <v>82.03</v>
      </c>
      <c r="L67" s="5" t="s">
        <v>176</v>
      </c>
    </row>
    <row r="68" spans="1:12" x14ac:dyDescent="0.25">
      <c r="A68" s="5">
        <v>6</v>
      </c>
      <c r="B68" s="5" t="s">
        <v>133</v>
      </c>
      <c r="C68" s="5" t="s">
        <v>181</v>
      </c>
      <c r="D68" s="6"/>
      <c r="E68" s="7">
        <v>112046.35</v>
      </c>
      <c r="F68" s="7">
        <v>1216437.51</v>
      </c>
      <c r="G68" s="7">
        <v>90.6</v>
      </c>
      <c r="H68" s="11">
        <f xml:space="preserve"> 0.0000178751*Table1[[#This Row],[x]] + 8.7126697145</f>
        <v>10.715509425385001</v>
      </c>
      <c r="I68" s="11">
        <f xml:space="preserve"> 0.0000090591*Table1[[#This Row],[y]] + 48.9228858653</f>
        <v>59.942714912141</v>
      </c>
      <c r="J68" s="7">
        <v>35.4</v>
      </c>
      <c r="K68" s="7">
        <v>55.199999999999996</v>
      </c>
      <c r="L68" s="5" t="s">
        <v>174</v>
      </c>
    </row>
    <row r="69" spans="1:12" x14ac:dyDescent="0.25">
      <c r="A69" s="5">
        <v>6</v>
      </c>
      <c r="B69" s="5" t="s">
        <v>133</v>
      </c>
      <c r="C69" s="5" t="s">
        <v>182</v>
      </c>
      <c r="D69" s="6"/>
      <c r="E69" s="7">
        <v>112046.35</v>
      </c>
      <c r="F69" s="7">
        <v>1216437.51</v>
      </c>
      <c r="G69" s="7">
        <v>90.6</v>
      </c>
      <c r="H69" s="11">
        <f xml:space="preserve"> 0.0000178751*Table1[[#This Row],[x]] + 8.7126697145</f>
        <v>10.715509425385001</v>
      </c>
      <c r="I69" s="11">
        <f xml:space="preserve"> 0.0000090591*Table1[[#This Row],[y]] + 48.9228858653</f>
        <v>59.942714912141</v>
      </c>
      <c r="J69" s="7">
        <v>15</v>
      </c>
      <c r="K69" s="7">
        <v>75.599999999999994</v>
      </c>
      <c r="L69" s="5" t="s">
        <v>176</v>
      </c>
    </row>
    <row r="70" spans="1:12" x14ac:dyDescent="0.25">
      <c r="A70" s="5">
        <v>7</v>
      </c>
      <c r="B70" s="5" t="s">
        <v>133</v>
      </c>
      <c r="C70" s="5" t="s">
        <v>183</v>
      </c>
      <c r="D70" s="6"/>
      <c r="E70" s="7">
        <v>110537.9</v>
      </c>
      <c r="F70" s="7">
        <v>1216005.8999999999</v>
      </c>
      <c r="G70" s="7">
        <v>68.61</v>
      </c>
      <c r="H70" s="11">
        <f xml:space="preserve"> 0.0000178751*Table1[[#This Row],[x]] + 8.7126697145</f>
        <v>10.68854573079</v>
      </c>
      <c r="I70" s="11">
        <f xml:space="preserve"> 0.0000090591*Table1[[#This Row],[y]] + 48.9228858653</f>
        <v>59.938804913989998</v>
      </c>
      <c r="J70" s="7">
        <v>14.95</v>
      </c>
      <c r="K70" s="7">
        <v>53.66</v>
      </c>
      <c r="L70" s="5" t="s">
        <v>178</v>
      </c>
    </row>
    <row r="71" spans="1:12" x14ac:dyDescent="0.25">
      <c r="A71" s="5">
        <v>7</v>
      </c>
      <c r="B71" s="5" t="s">
        <v>133</v>
      </c>
      <c r="C71" s="5" t="s">
        <v>184</v>
      </c>
      <c r="D71" s="6"/>
      <c r="E71" s="7">
        <v>110537.9</v>
      </c>
      <c r="F71" s="7">
        <v>1216005.8999999999</v>
      </c>
      <c r="G71" s="7">
        <v>68.61</v>
      </c>
      <c r="H71" s="11">
        <f xml:space="preserve"> 0.0000178751*Table1[[#This Row],[x]] + 8.7126697145</f>
        <v>10.68854573079</v>
      </c>
      <c r="I71" s="11">
        <f xml:space="preserve"> 0.0000090591*Table1[[#This Row],[y]] + 48.9228858653</f>
        <v>59.938804913989998</v>
      </c>
      <c r="J71" s="7">
        <v>5</v>
      </c>
      <c r="K71" s="7">
        <v>63.61</v>
      </c>
      <c r="L71" s="5" t="s">
        <v>185</v>
      </c>
    </row>
    <row r="72" spans="1:12" x14ac:dyDescent="0.25">
      <c r="A72" s="5">
        <v>5</v>
      </c>
      <c r="B72" s="5" t="s">
        <v>133</v>
      </c>
      <c r="C72" s="5" t="s">
        <v>37</v>
      </c>
      <c r="D72" s="6">
        <v>18521</v>
      </c>
      <c r="E72" s="7">
        <v>114565.071</v>
      </c>
      <c r="F72" s="7">
        <v>1216036.1399999999</v>
      </c>
      <c r="G72" s="7">
        <v>77.067999999999998</v>
      </c>
      <c r="H72" s="11">
        <f xml:space="preserve"> 0.0000178751*Table1[[#This Row],[x]] + 8.7126697145</f>
        <v>10.760531815132101</v>
      </c>
      <c r="I72" s="11">
        <f xml:space="preserve"> 0.0000090591*Table1[[#This Row],[y]] + 48.9228858653</f>
        <v>59.939078861174004</v>
      </c>
      <c r="J72" s="7">
        <v>25.1</v>
      </c>
      <c r="K72" s="7">
        <v>51.968002319335938</v>
      </c>
      <c r="L72" s="5" t="s">
        <v>142</v>
      </c>
    </row>
    <row r="73" spans="1:12" x14ac:dyDescent="0.25">
      <c r="A73" s="5">
        <v>5</v>
      </c>
      <c r="B73" s="5" t="s">
        <v>133</v>
      </c>
      <c r="C73" s="5" t="s">
        <v>38</v>
      </c>
      <c r="D73" s="6">
        <v>42921</v>
      </c>
      <c r="E73" s="7">
        <v>114565.071</v>
      </c>
      <c r="F73" s="7">
        <v>1216036.1399999999</v>
      </c>
      <c r="G73" s="7">
        <v>77.067999999999998</v>
      </c>
      <c r="H73" s="11">
        <f xml:space="preserve"> 0.0000178751*Table1[[#This Row],[x]] + 8.7126697145</f>
        <v>10.760531815132101</v>
      </c>
      <c r="I73" s="11">
        <f xml:space="preserve"> 0.0000090591*Table1[[#This Row],[y]] + 48.9228858653</f>
        <v>59.939078861174004</v>
      </c>
      <c r="J73" s="7">
        <v>10.199999999999999</v>
      </c>
      <c r="K73" s="7">
        <v>66.868003845214844</v>
      </c>
      <c r="L73" s="5" t="s">
        <v>145</v>
      </c>
    </row>
    <row r="74" spans="1:12" x14ac:dyDescent="0.25">
      <c r="A74" s="5">
        <v>5</v>
      </c>
      <c r="B74" s="5" t="s">
        <v>133</v>
      </c>
      <c r="C74" s="5" t="s">
        <v>39</v>
      </c>
      <c r="D74" s="6">
        <v>18621</v>
      </c>
      <c r="E74" s="7">
        <v>114766.95699999999</v>
      </c>
      <c r="F74" s="7">
        <v>1216392.3999999999</v>
      </c>
      <c r="G74" s="7">
        <v>89.552999999999997</v>
      </c>
      <c r="H74" s="11">
        <f xml:space="preserve"> 0.0000178751*Table1[[#This Row],[x]] + 8.7126697145</f>
        <v>10.764140547570701</v>
      </c>
      <c r="I74" s="11">
        <f xml:space="preserve"> 0.0000090591*Table1[[#This Row],[y]] + 48.9228858653</f>
        <v>59.94230625614</v>
      </c>
      <c r="J74" s="7">
        <v>25</v>
      </c>
      <c r="K74" s="7">
        <v>64.553001403808594</v>
      </c>
      <c r="L74" s="5" t="s">
        <v>186</v>
      </c>
    </row>
    <row r="75" spans="1:12" x14ac:dyDescent="0.25">
      <c r="A75" s="5">
        <v>5</v>
      </c>
      <c r="B75" s="5" t="s">
        <v>133</v>
      </c>
      <c r="C75" s="5" t="s">
        <v>40</v>
      </c>
      <c r="D75" s="6">
        <v>43021</v>
      </c>
      <c r="E75" s="7">
        <v>114766.95699999999</v>
      </c>
      <c r="F75" s="7">
        <v>1216392.3999999999</v>
      </c>
      <c r="G75" s="7">
        <v>89.552999999999997</v>
      </c>
      <c r="H75" s="11">
        <f xml:space="preserve"> 0.0000178751*Table1[[#This Row],[x]] + 8.7126697145</f>
        <v>10.764140547570701</v>
      </c>
      <c r="I75" s="11">
        <f xml:space="preserve"> 0.0000090591*Table1[[#This Row],[y]] + 48.9228858653</f>
        <v>59.94230625614</v>
      </c>
      <c r="J75" s="7">
        <v>10</v>
      </c>
      <c r="K75" s="7">
        <v>79.553001403808594</v>
      </c>
      <c r="L75" s="5" t="s">
        <v>142</v>
      </c>
    </row>
    <row r="76" spans="1:12" x14ac:dyDescent="0.25">
      <c r="A76" s="5" t="s">
        <v>187</v>
      </c>
      <c r="B76" s="5" t="s">
        <v>133</v>
      </c>
      <c r="C76" s="5" t="s">
        <v>188</v>
      </c>
      <c r="D76" s="6" t="s">
        <v>162</v>
      </c>
      <c r="E76" s="7">
        <v>115445.28599999999</v>
      </c>
      <c r="F76" s="7">
        <v>1216404.8999999999</v>
      </c>
      <c r="G76" s="7">
        <v>101.09399999999999</v>
      </c>
      <c r="H76" s="11">
        <f xml:space="preserve"> 0.0000178751*Table1[[#This Row],[x]] + 8.7126697145</f>
        <v>10.7762657462786</v>
      </c>
      <c r="I76" s="11">
        <f xml:space="preserve"> 0.0000090591*Table1[[#This Row],[y]] + 48.9228858653</f>
        <v>59.942419494890004</v>
      </c>
      <c r="J76" s="7">
        <v>12</v>
      </c>
      <c r="K76" s="7">
        <v>89.094001770019531</v>
      </c>
      <c r="L76" s="5" t="s">
        <v>189</v>
      </c>
    </row>
    <row r="77" spans="1:12" x14ac:dyDescent="0.25">
      <c r="A77" s="5" t="s">
        <v>187</v>
      </c>
      <c r="B77" s="5" t="s">
        <v>133</v>
      </c>
      <c r="C77" s="5" t="s">
        <v>188</v>
      </c>
      <c r="D77" s="6" t="s">
        <v>162</v>
      </c>
      <c r="E77" s="7">
        <v>115445.28599999999</v>
      </c>
      <c r="F77" s="7">
        <v>1216404.8999999999</v>
      </c>
      <c r="G77" s="7">
        <v>101.09399999999999</v>
      </c>
      <c r="H77" s="11">
        <f xml:space="preserve"> 0.0000178751*Table1[[#This Row],[x]] + 8.7126697145</f>
        <v>10.7762657462786</v>
      </c>
      <c r="I77" s="11">
        <f xml:space="preserve"> 0.0000090591*Table1[[#This Row],[y]] + 48.9228858653</f>
        <v>59.942419494890004</v>
      </c>
      <c r="J77" s="7">
        <v>6</v>
      </c>
      <c r="K77" s="7">
        <v>95.094001770019531</v>
      </c>
      <c r="L77" s="5" t="s">
        <v>142</v>
      </c>
    </row>
    <row r="78" spans="1:12" x14ac:dyDescent="0.25">
      <c r="A78" s="5">
        <v>8</v>
      </c>
      <c r="B78" s="5" t="s">
        <v>133</v>
      </c>
      <c r="C78" s="5" t="s">
        <v>190</v>
      </c>
      <c r="D78" s="6">
        <v>30201</v>
      </c>
      <c r="E78" s="7">
        <v>116163.67</v>
      </c>
      <c r="F78" s="7">
        <v>1218942.54</v>
      </c>
      <c r="G78" s="7">
        <v>164.97399999999999</v>
      </c>
      <c r="H78" s="11">
        <f xml:space="preserve"> 0.0000178751*Table1[[#This Row],[x]] + 8.7126697145</f>
        <v>10.789106932117001</v>
      </c>
      <c r="I78" s="11">
        <f xml:space="preserve"> 0.0000090591*Table1[[#This Row],[y]] + 48.9228858653</f>
        <v>59.965408229414003</v>
      </c>
      <c r="J78" s="7">
        <v>20.399999999999999</v>
      </c>
      <c r="K78" s="7">
        <v>144.5740051269531</v>
      </c>
      <c r="L78" s="5" t="s">
        <v>191</v>
      </c>
    </row>
    <row r="79" spans="1:12" x14ac:dyDescent="0.25">
      <c r="A79" s="5">
        <v>8</v>
      </c>
      <c r="B79" s="5" t="s">
        <v>133</v>
      </c>
      <c r="C79" s="5" t="s">
        <v>41</v>
      </c>
      <c r="D79" s="6">
        <v>30202</v>
      </c>
      <c r="E79" s="7">
        <v>116163.67</v>
      </c>
      <c r="F79" s="7">
        <v>1218942.54</v>
      </c>
      <c r="G79" s="7">
        <v>164.97399999999999</v>
      </c>
      <c r="H79" s="11">
        <f xml:space="preserve"> 0.0000178751*Table1[[#This Row],[x]] + 8.7126697145</f>
        <v>10.789106932117001</v>
      </c>
      <c r="I79" s="11">
        <f xml:space="preserve"> 0.0000090591*Table1[[#This Row],[y]] + 48.9228858653</f>
        <v>59.965408229414003</v>
      </c>
      <c r="J79" s="7">
        <v>15</v>
      </c>
      <c r="K79" s="7">
        <v>149.9739990234375</v>
      </c>
      <c r="L79" s="5" t="s">
        <v>192</v>
      </c>
    </row>
    <row r="80" spans="1:12" x14ac:dyDescent="0.25">
      <c r="A80" s="5">
        <v>8</v>
      </c>
      <c r="B80" s="5" t="s">
        <v>133</v>
      </c>
      <c r="C80" s="5" t="s">
        <v>42</v>
      </c>
      <c r="D80" s="6">
        <v>30471</v>
      </c>
      <c r="E80" s="7">
        <v>116412.74099999999</v>
      </c>
      <c r="F80" s="7">
        <v>1218161.05</v>
      </c>
      <c r="G80" s="7">
        <v>176.411</v>
      </c>
      <c r="H80" s="11">
        <f xml:space="preserve"> 0.0000178751*Table1[[#This Row],[x]] + 8.7126697145</f>
        <v>10.7935591011491</v>
      </c>
      <c r="I80" s="11">
        <f xml:space="preserve"> 0.0000090591*Table1[[#This Row],[y]] + 48.9228858653</f>
        <v>59.958328633355002</v>
      </c>
      <c r="J80" s="7">
        <v>17</v>
      </c>
      <c r="K80" s="7">
        <v>159.41099548339841</v>
      </c>
      <c r="L80" s="5" t="s">
        <v>191</v>
      </c>
    </row>
    <row r="81" spans="1:12" x14ac:dyDescent="0.25">
      <c r="A81" s="5">
        <v>8</v>
      </c>
      <c r="B81" s="5" t="s">
        <v>133</v>
      </c>
      <c r="C81" s="5" t="s">
        <v>43</v>
      </c>
      <c r="D81" s="6">
        <v>30472</v>
      </c>
      <c r="E81" s="7">
        <v>116412.74099999999</v>
      </c>
      <c r="F81" s="7">
        <v>1218161.05</v>
      </c>
      <c r="G81" s="7">
        <v>176.411</v>
      </c>
      <c r="H81" s="11">
        <f xml:space="preserve"> 0.0000178751*Table1[[#This Row],[x]] + 8.7126697145</f>
        <v>10.7935591011491</v>
      </c>
      <c r="I81" s="11">
        <f xml:space="preserve"> 0.0000090591*Table1[[#This Row],[y]] + 48.9228858653</f>
        <v>59.958328633355002</v>
      </c>
      <c r="J81" s="7">
        <v>7</v>
      </c>
      <c r="K81" s="7">
        <v>169.41099548339841</v>
      </c>
      <c r="L81" s="5" t="s">
        <v>144</v>
      </c>
    </row>
    <row r="82" spans="1:12" x14ac:dyDescent="0.25">
      <c r="A82" s="5" t="s">
        <v>147</v>
      </c>
      <c r="B82" s="5" t="s">
        <v>133</v>
      </c>
      <c r="C82" s="5" t="s">
        <v>44</v>
      </c>
      <c r="D82" s="6">
        <v>31032</v>
      </c>
      <c r="E82" s="7">
        <v>116154.217</v>
      </c>
      <c r="F82" s="7">
        <v>1216843.8400000001</v>
      </c>
      <c r="G82" s="7">
        <v>134.08699999999999</v>
      </c>
      <c r="H82" s="11">
        <f xml:space="preserve"> 0.0000178751*Table1[[#This Row],[x]] + 8.7126697145</f>
        <v>10.788937958796701</v>
      </c>
      <c r="I82" s="11">
        <f xml:space="preserve"> 0.0000090591*Table1[[#This Row],[y]] + 48.9228858653</f>
        <v>59.946395896243999</v>
      </c>
      <c r="J82" s="7">
        <v>9.6</v>
      </c>
      <c r="K82" s="7">
        <v>124.4870071411133</v>
      </c>
      <c r="L82" s="5" t="s">
        <v>193</v>
      </c>
    </row>
    <row r="83" spans="1:12" x14ac:dyDescent="0.25">
      <c r="A83" s="5" t="s">
        <v>147</v>
      </c>
      <c r="B83" s="5" t="s">
        <v>133</v>
      </c>
      <c r="C83" s="5" t="s">
        <v>45</v>
      </c>
      <c r="D83" s="6">
        <v>31031</v>
      </c>
      <c r="E83" s="7">
        <v>116154.217</v>
      </c>
      <c r="F83" s="7">
        <v>1216843.8400000001</v>
      </c>
      <c r="G83" s="7">
        <v>134.08699999999999</v>
      </c>
      <c r="H83" s="11">
        <f xml:space="preserve"> 0.0000178751*Table1[[#This Row],[x]] + 8.7126697145</f>
        <v>10.788937958796701</v>
      </c>
      <c r="I83" s="11">
        <f xml:space="preserve"> 0.0000090591*Table1[[#This Row],[y]] + 48.9228858653</f>
        <v>59.946395896243999</v>
      </c>
      <c r="J83" s="7">
        <v>5</v>
      </c>
      <c r="K83" s="7">
        <v>129.0870056152344</v>
      </c>
      <c r="L83" s="5" t="s">
        <v>176</v>
      </c>
    </row>
    <row r="84" spans="1:12" x14ac:dyDescent="0.25">
      <c r="A84" s="5" t="s">
        <v>147</v>
      </c>
      <c r="B84" s="5" t="s">
        <v>133</v>
      </c>
      <c r="C84" s="5" t="s">
        <v>46</v>
      </c>
      <c r="D84" s="6" t="s">
        <v>162</v>
      </c>
      <c r="E84" s="7">
        <v>116386.673</v>
      </c>
      <c r="F84" s="7">
        <v>1216563.46</v>
      </c>
      <c r="G84" s="7">
        <v>149.834</v>
      </c>
      <c r="H84" s="11">
        <f xml:space="preserve"> 0.0000178751*Table1[[#This Row],[x]] + 8.7126697145</f>
        <v>10.793093133042301</v>
      </c>
      <c r="I84" s="11">
        <f xml:space="preserve"> 0.0000090591*Table1[[#This Row],[y]] + 48.9228858653</f>
        <v>59.943855905786002</v>
      </c>
      <c r="J84" s="7">
        <v>9.0510000000000161</v>
      </c>
      <c r="K84" s="7">
        <v>140.78299999999999</v>
      </c>
      <c r="L84" s="5" t="s">
        <v>134</v>
      </c>
    </row>
    <row r="85" spans="1:12" x14ac:dyDescent="0.25">
      <c r="A85" s="5" t="s">
        <v>147</v>
      </c>
      <c r="B85" s="5" t="s">
        <v>133</v>
      </c>
      <c r="C85" s="5" t="s">
        <v>47</v>
      </c>
      <c r="D85" s="6" t="s">
        <v>162</v>
      </c>
      <c r="E85" s="7">
        <v>116386.673</v>
      </c>
      <c r="F85" s="7">
        <v>1216563.46</v>
      </c>
      <c r="G85" s="7">
        <v>149.834</v>
      </c>
      <c r="H85" s="11">
        <f xml:space="preserve"> 0.0000178751*Table1[[#This Row],[x]] + 8.7126697145</f>
        <v>10.793093133042301</v>
      </c>
      <c r="I85" s="11">
        <f xml:space="preserve"> 0.0000090591*Table1[[#This Row],[y]] + 48.9228858653</f>
        <v>59.943855905786002</v>
      </c>
      <c r="J85" s="7">
        <v>5</v>
      </c>
      <c r="K85" s="7">
        <v>144.83399963378909</v>
      </c>
      <c r="L85" s="5" t="s">
        <v>176</v>
      </c>
    </row>
    <row r="86" spans="1:12" x14ac:dyDescent="0.25">
      <c r="A86" s="5" t="s">
        <v>147</v>
      </c>
      <c r="B86" s="5" t="s">
        <v>133</v>
      </c>
      <c r="C86" s="5" t="s">
        <v>48</v>
      </c>
      <c r="D86" s="6">
        <v>31241</v>
      </c>
      <c r="E86" s="7">
        <v>116103.621</v>
      </c>
      <c r="F86" s="7">
        <v>1216920.3700000001</v>
      </c>
      <c r="G86" s="7">
        <v>136.55699999999999</v>
      </c>
      <c r="H86" s="11">
        <f xml:space="preserve"> 0.0000178751*Table1[[#This Row],[x]] + 8.7126697145</f>
        <v>10.788033550237101</v>
      </c>
      <c r="I86" s="11">
        <f xml:space="preserve"> 0.0000090591*Table1[[#This Row],[y]] + 48.9228858653</f>
        <v>59.947089189167002</v>
      </c>
      <c r="J86" s="7">
        <v>11.999999999999986</v>
      </c>
      <c r="K86" s="7">
        <v>124.557</v>
      </c>
      <c r="L86" s="5" t="s">
        <v>134</v>
      </c>
    </row>
    <row r="87" spans="1:12" x14ac:dyDescent="0.25">
      <c r="A87" s="5" t="s">
        <v>147</v>
      </c>
      <c r="B87" s="5" t="s">
        <v>133</v>
      </c>
      <c r="C87" s="5" t="s">
        <v>49</v>
      </c>
      <c r="D87" s="6">
        <v>31242</v>
      </c>
      <c r="E87" s="7">
        <v>116103.621</v>
      </c>
      <c r="F87" s="7">
        <v>1216920.3700000001</v>
      </c>
      <c r="G87" s="7">
        <v>136.56</v>
      </c>
      <c r="H87" s="11">
        <f xml:space="preserve"> 0.0000178751*Table1[[#This Row],[x]] + 8.7126697145</f>
        <v>10.788033550237101</v>
      </c>
      <c r="I87" s="11">
        <f xml:space="preserve"> 0.0000090591*Table1[[#This Row],[y]] + 48.9228858653</f>
        <v>59.947089189167002</v>
      </c>
      <c r="J87" s="7">
        <v>7</v>
      </c>
      <c r="K87" s="7">
        <v>129.56</v>
      </c>
      <c r="L87" s="5" t="s">
        <v>194</v>
      </c>
    </row>
    <row r="88" spans="1:12" x14ac:dyDescent="0.25">
      <c r="A88" s="5" t="s">
        <v>147</v>
      </c>
      <c r="B88" s="5" t="s">
        <v>133</v>
      </c>
      <c r="C88" s="5" t="s">
        <v>50</v>
      </c>
      <c r="D88" s="6">
        <v>31291</v>
      </c>
      <c r="E88" s="7">
        <v>116485.26300000001</v>
      </c>
      <c r="F88" s="7">
        <v>1216760.75</v>
      </c>
      <c r="G88" s="7">
        <v>157.29400000000001</v>
      </c>
      <c r="H88" s="11">
        <f xml:space="preserve"> 0.0000178751*Table1[[#This Row],[x]] + 8.7126697145</f>
        <v>10.7948554391513</v>
      </c>
      <c r="I88" s="11">
        <f xml:space="preserve"> 0.0000090591*Table1[[#This Row],[y]] + 48.9228858653</f>
        <v>59.945643175625001</v>
      </c>
      <c r="J88" s="7">
        <v>10</v>
      </c>
      <c r="K88" s="7">
        <v>147.29400634765619</v>
      </c>
      <c r="L88" s="5" t="s">
        <v>195</v>
      </c>
    </row>
    <row r="89" spans="1:12" x14ac:dyDescent="0.25">
      <c r="A89" s="5" t="s">
        <v>147</v>
      </c>
      <c r="B89" s="5" t="s">
        <v>133</v>
      </c>
      <c r="C89" s="5" t="s">
        <v>51</v>
      </c>
      <c r="D89" s="6">
        <v>31292</v>
      </c>
      <c r="E89" s="7">
        <v>116485.26300000001</v>
      </c>
      <c r="F89" s="7">
        <v>1216760.75</v>
      </c>
      <c r="G89" s="7">
        <v>157.29400000000001</v>
      </c>
      <c r="H89" s="11">
        <f xml:space="preserve"> 0.0000178751*Table1[[#This Row],[x]] + 8.7126697145</f>
        <v>10.7948554391513</v>
      </c>
      <c r="I89" s="11">
        <f xml:space="preserve"> 0.0000090591*Table1[[#This Row],[y]] + 48.9228858653</f>
        <v>59.945643175625001</v>
      </c>
      <c r="J89" s="7">
        <v>5</v>
      </c>
      <c r="K89" s="7">
        <v>152.29400634765619</v>
      </c>
      <c r="L89" s="5" t="s">
        <v>194</v>
      </c>
    </row>
    <row r="90" spans="1:12" x14ac:dyDescent="0.25">
      <c r="A90" s="5" t="s">
        <v>147</v>
      </c>
      <c r="B90" s="5" t="s">
        <v>133</v>
      </c>
      <c r="C90" s="5" t="s">
        <v>52</v>
      </c>
      <c r="D90" s="6">
        <v>40042</v>
      </c>
      <c r="E90" s="7">
        <v>116153.068</v>
      </c>
      <c r="F90" s="7">
        <v>1216286.8400000001</v>
      </c>
      <c r="G90" s="7">
        <v>128.01400000000001</v>
      </c>
      <c r="H90" s="11">
        <f xml:space="preserve"> 0.0000178751*Table1[[#This Row],[x]] + 8.7126697145</f>
        <v>10.788917420306801</v>
      </c>
      <c r="I90" s="11">
        <f xml:space="preserve"> 0.0000090591*Table1[[#This Row],[y]] + 48.9228858653</f>
        <v>59.941349977544007</v>
      </c>
      <c r="J90" s="7">
        <v>8</v>
      </c>
      <c r="K90" s="7">
        <v>120.0140075683594</v>
      </c>
      <c r="L90" s="5" t="s">
        <v>195</v>
      </c>
    </row>
    <row r="91" spans="1:12" x14ac:dyDescent="0.25">
      <c r="A91" s="5" t="s">
        <v>147</v>
      </c>
      <c r="B91" s="5" t="s">
        <v>133</v>
      </c>
      <c r="C91" s="5" t="s">
        <v>53</v>
      </c>
      <c r="D91" s="6">
        <v>40041</v>
      </c>
      <c r="E91" s="7">
        <v>116153.068</v>
      </c>
      <c r="F91" s="7">
        <v>1216286.8400000001</v>
      </c>
      <c r="G91" s="7">
        <v>128.01400000000001</v>
      </c>
      <c r="H91" s="11">
        <f xml:space="preserve"> 0.0000178751*Table1[[#This Row],[x]] + 8.7126697145</f>
        <v>10.788917420306801</v>
      </c>
      <c r="I91" s="11">
        <f xml:space="preserve"> 0.0000090591*Table1[[#This Row],[y]] + 48.9228858653</f>
        <v>59.941349977544007</v>
      </c>
      <c r="J91" s="7">
        <v>4</v>
      </c>
      <c r="K91" s="7">
        <v>124.0140075683594</v>
      </c>
      <c r="L91" s="5" t="s">
        <v>194</v>
      </c>
    </row>
    <row r="92" spans="1:12" x14ac:dyDescent="0.25">
      <c r="A92" s="5">
        <v>3</v>
      </c>
      <c r="B92" s="5" t="s">
        <v>133</v>
      </c>
      <c r="C92" s="5" t="s">
        <v>54</v>
      </c>
      <c r="D92" s="6">
        <v>40151</v>
      </c>
      <c r="E92" s="7">
        <v>117017.357</v>
      </c>
      <c r="F92" s="7">
        <v>1216191.46</v>
      </c>
      <c r="G92" s="7">
        <v>156.20500000000001</v>
      </c>
      <c r="H92" s="11">
        <f xml:space="preserve"> 0.0000178751*Table1[[#This Row],[x]] + 8.7126697145</f>
        <v>10.804366672610701</v>
      </c>
      <c r="I92" s="11">
        <f xml:space="preserve"> 0.0000090591*Table1[[#This Row],[y]] + 48.9228858653</f>
        <v>59.940485920585999</v>
      </c>
      <c r="J92" s="7">
        <v>12.975000000000023</v>
      </c>
      <c r="K92" s="7">
        <v>143.22999999999999</v>
      </c>
      <c r="L92" s="5" t="s">
        <v>196</v>
      </c>
    </row>
    <row r="93" spans="1:12" x14ac:dyDescent="0.25">
      <c r="A93" s="5">
        <v>3</v>
      </c>
      <c r="B93" s="5" t="s">
        <v>133</v>
      </c>
      <c r="C93" s="5" t="s">
        <v>55</v>
      </c>
      <c r="D93" s="6">
        <v>40152</v>
      </c>
      <c r="E93" s="7">
        <v>117017.357</v>
      </c>
      <c r="F93" s="7">
        <v>1216191.46</v>
      </c>
      <c r="G93" s="7">
        <v>156.20500000000001</v>
      </c>
      <c r="H93" s="11">
        <f xml:space="preserve"> 0.0000178751*Table1[[#This Row],[x]] + 8.7126697145</f>
        <v>10.804366672610701</v>
      </c>
      <c r="I93" s="11">
        <f xml:space="preserve"> 0.0000090591*Table1[[#This Row],[y]] + 48.9228858653</f>
        <v>59.940485920585999</v>
      </c>
      <c r="J93" s="7">
        <v>7</v>
      </c>
      <c r="K93" s="7">
        <v>149.20500183105469</v>
      </c>
      <c r="L93" s="5" t="s">
        <v>192</v>
      </c>
    </row>
    <row r="94" spans="1:12" x14ac:dyDescent="0.25">
      <c r="A94" s="5">
        <v>3</v>
      </c>
      <c r="B94" s="5" t="s">
        <v>133</v>
      </c>
      <c r="C94" s="5" t="s">
        <v>56</v>
      </c>
      <c r="D94" s="6">
        <v>40191</v>
      </c>
      <c r="E94" s="7">
        <v>117066.00199999999</v>
      </c>
      <c r="F94" s="7">
        <v>1215742.1399999999</v>
      </c>
      <c r="G94" s="7">
        <v>117.71899999999999</v>
      </c>
      <c r="H94" s="11">
        <f xml:space="preserve"> 0.0000178751*Table1[[#This Row],[x]] + 8.7126697145</f>
        <v>10.8052362068502</v>
      </c>
      <c r="I94" s="11">
        <f xml:space="preserve"> 0.0000090591*Table1[[#This Row],[y]] + 48.9228858653</f>
        <v>59.936415485773999</v>
      </c>
      <c r="J94" s="7">
        <v>4.9989999999999952</v>
      </c>
      <c r="K94" s="7">
        <v>112.72</v>
      </c>
      <c r="L94" s="5" t="s">
        <v>192</v>
      </c>
    </row>
    <row r="95" spans="1:12" x14ac:dyDescent="0.25">
      <c r="A95" s="5">
        <v>3</v>
      </c>
      <c r="B95" s="5" t="s">
        <v>133</v>
      </c>
      <c r="C95" s="5" t="s">
        <v>57</v>
      </c>
      <c r="D95" s="6">
        <v>40192</v>
      </c>
      <c r="E95" s="7">
        <v>117066.00199999999</v>
      </c>
      <c r="F95" s="7">
        <v>1215742.1399999999</v>
      </c>
      <c r="G95" s="7">
        <v>117.71899999999999</v>
      </c>
      <c r="H95" s="11">
        <f xml:space="preserve"> 0.0000178751*Table1[[#This Row],[x]] + 8.7126697145</f>
        <v>10.8052362068502</v>
      </c>
      <c r="I95" s="11">
        <f xml:space="preserve"> 0.0000090591*Table1[[#This Row],[y]] + 48.9228858653</f>
        <v>59.936415485773999</v>
      </c>
      <c r="J95" s="7">
        <v>17.09899999999999</v>
      </c>
      <c r="K95" s="7">
        <v>100.62</v>
      </c>
      <c r="L95" s="5" t="s">
        <v>197</v>
      </c>
    </row>
    <row r="96" spans="1:12" x14ac:dyDescent="0.25">
      <c r="A96" s="5">
        <v>3</v>
      </c>
      <c r="B96" s="5" t="s">
        <v>133</v>
      </c>
      <c r="C96" s="5" t="s">
        <v>58</v>
      </c>
      <c r="D96" s="6">
        <v>40281</v>
      </c>
      <c r="E96" s="7">
        <v>117870.276</v>
      </c>
      <c r="F96" s="7">
        <v>1215840.26</v>
      </c>
      <c r="G96" s="7">
        <v>117.39100000000001</v>
      </c>
      <c r="H96" s="11">
        <f xml:space="preserve"> 0.0000178751*Table1[[#This Row],[x]] + 8.7126697145</f>
        <v>10.8196126850276</v>
      </c>
      <c r="I96" s="11">
        <f xml:space="preserve"> 0.0000090591*Table1[[#This Row],[y]] + 48.9228858653</f>
        <v>59.937304364666005</v>
      </c>
      <c r="J96" s="7">
        <v>29.768000000000001</v>
      </c>
      <c r="K96" s="7">
        <v>87.623000000000005</v>
      </c>
      <c r="L96" s="5" t="s">
        <v>142</v>
      </c>
    </row>
    <row r="97" spans="1:12" x14ac:dyDescent="0.25">
      <c r="A97" s="5">
        <v>3</v>
      </c>
      <c r="B97" s="5" t="s">
        <v>133</v>
      </c>
      <c r="C97" s="5" t="s">
        <v>59</v>
      </c>
      <c r="D97" s="6">
        <v>40282</v>
      </c>
      <c r="E97" s="7">
        <v>117870.276</v>
      </c>
      <c r="F97" s="7">
        <v>1215840.26</v>
      </c>
      <c r="G97" s="7">
        <v>117.39100000000001</v>
      </c>
      <c r="H97" s="11">
        <f xml:space="preserve"> 0.0000178751*Table1[[#This Row],[x]] + 8.7126697145</f>
        <v>10.8196126850276</v>
      </c>
      <c r="I97" s="11">
        <f xml:space="preserve"> 0.0000090591*Table1[[#This Row],[y]] + 48.9228858653</f>
        <v>59.937304364666005</v>
      </c>
      <c r="J97" s="7">
        <v>14.768000000000001</v>
      </c>
      <c r="K97" s="7">
        <v>102.623</v>
      </c>
      <c r="L97" s="5" t="s">
        <v>142</v>
      </c>
    </row>
    <row r="98" spans="1:12" x14ac:dyDescent="0.25">
      <c r="A98" s="5">
        <v>2</v>
      </c>
      <c r="B98" s="5" t="s">
        <v>133</v>
      </c>
      <c r="C98" s="5" t="s">
        <v>60</v>
      </c>
      <c r="D98" s="6">
        <v>40311</v>
      </c>
      <c r="E98" s="7">
        <v>117791.417</v>
      </c>
      <c r="F98" s="7">
        <v>1215195.17</v>
      </c>
      <c r="G98" s="7">
        <v>111.604</v>
      </c>
      <c r="H98" s="11">
        <f xml:space="preserve"> 0.0000178751*Table1[[#This Row],[x]] + 8.7126697145</f>
        <v>10.818203072516701</v>
      </c>
      <c r="I98" s="11">
        <f xml:space="preserve"> 0.0000090591*Table1[[#This Row],[y]] + 48.9228858653</f>
        <v>59.931460429847</v>
      </c>
      <c r="J98" s="7">
        <v>14.572999999999993</v>
      </c>
      <c r="K98" s="7">
        <v>97.031000000000006</v>
      </c>
      <c r="L98" s="5" t="s">
        <v>143</v>
      </c>
    </row>
    <row r="99" spans="1:12" x14ac:dyDescent="0.25">
      <c r="A99" s="5">
        <v>2</v>
      </c>
      <c r="B99" s="5" t="s">
        <v>133</v>
      </c>
      <c r="C99" s="5" t="s">
        <v>61</v>
      </c>
      <c r="D99" s="6">
        <v>40312</v>
      </c>
      <c r="E99" s="7">
        <v>117791.417</v>
      </c>
      <c r="F99" s="7">
        <v>1215195.17</v>
      </c>
      <c r="G99" s="7">
        <v>111.604</v>
      </c>
      <c r="H99" s="11">
        <f xml:space="preserve"> 0.0000178751*Table1[[#This Row],[x]] + 8.7126697145</f>
        <v>10.818203072516701</v>
      </c>
      <c r="I99" s="11">
        <f xml:space="preserve"> 0.0000090591*Table1[[#This Row],[y]] + 48.9228858653</f>
        <v>59.931460429847</v>
      </c>
      <c r="J99" s="7">
        <v>6.972999999999999</v>
      </c>
      <c r="K99" s="7">
        <v>104.631</v>
      </c>
      <c r="L99" s="5" t="s">
        <v>194</v>
      </c>
    </row>
    <row r="100" spans="1:12" x14ac:dyDescent="0.25">
      <c r="A100" s="5">
        <v>2</v>
      </c>
      <c r="B100" s="5" t="s">
        <v>133</v>
      </c>
      <c r="C100" s="5" t="s">
        <v>62</v>
      </c>
      <c r="D100" s="6">
        <v>40351</v>
      </c>
      <c r="E100" s="7">
        <v>118186.75199999999</v>
      </c>
      <c r="F100" s="7">
        <v>1215582.71</v>
      </c>
      <c r="G100" s="7">
        <v>124.914</v>
      </c>
      <c r="H100" s="11">
        <f xml:space="preserve"> 0.0000178751*Table1[[#This Row],[x]] + 8.7126697145</f>
        <v>10.8252697251752</v>
      </c>
      <c r="I100" s="11">
        <f xml:space="preserve"> 0.0000090591*Table1[[#This Row],[y]] + 48.9228858653</f>
        <v>59.934971193461003</v>
      </c>
      <c r="J100" s="7">
        <v>18.03</v>
      </c>
      <c r="K100" s="7">
        <v>106.884</v>
      </c>
      <c r="L100" s="5" t="s">
        <v>195</v>
      </c>
    </row>
    <row r="101" spans="1:12" x14ac:dyDescent="0.25">
      <c r="A101" s="5">
        <v>2</v>
      </c>
      <c r="B101" s="5" t="s">
        <v>133</v>
      </c>
      <c r="C101" s="5" t="s">
        <v>63</v>
      </c>
      <c r="D101" s="6">
        <v>40352</v>
      </c>
      <c r="E101" s="7">
        <v>118186.75199999999</v>
      </c>
      <c r="F101" s="7">
        <v>1215582.71</v>
      </c>
      <c r="G101" s="7">
        <v>124.914</v>
      </c>
      <c r="H101" s="11">
        <f xml:space="preserve"> 0.0000178751*Table1[[#This Row],[x]] + 8.7126697145</f>
        <v>10.8252697251752</v>
      </c>
      <c r="I101" s="11">
        <f xml:space="preserve"> 0.0000090591*Table1[[#This Row],[y]] + 48.9228858653</f>
        <v>59.934971193461003</v>
      </c>
      <c r="J101" s="7">
        <v>7.0300000000000011</v>
      </c>
      <c r="K101" s="7">
        <v>117.884</v>
      </c>
      <c r="L101" s="5" t="s">
        <v>194</v>
      </c>
    </row>
    <row r="102" spans="1:12" x14ac:dyDescent="0.25">
      <c r="A102" s="5">
        <v>2</v>
      </c>
      <c r="B102" s="5" t="s">
        <v>133</v>
      </c>
      <c r="C102" s="5" t="s">
        <v>64</v>
      </c>
      <c r="D102" s="6">
        <v>50011</v>
      </c>
      <c r="E102" s="7">
        <v>118167.412</v>
      </c>
      <c r="F102" s="7">
        <v>1215351.73</v>
      </c>
      <c r="G102" s="7">
        <v>117.303</v>
      </c>
      <c r="H102" s="11">
        <f xml:space="preserve"> 0.0000178751*Table1[[#This Row],[x]] + 8.7126697145</f>
        <v>10.8249240207412</v>
      </c>
      <c r="I102" s="11">
        <f xml:space="preserve"> 0.0000090591*Table1[[#This Row],[y]] + 48.9228858653</f>
        <v>59.932878722543002</v>
      </c>
      <c r="J102" s="7">
        <v>9.762999999999991</v>
      </c>
      <c r="K102" s="7">
        <v>107.54</v>
      </c>
      <c r="L102" s="5" t="s">
        <v>134</v>
      </c>
    </row>
    <row r="103" spans="1:12" x14ac:dyDescent="0.25">
      <c r="A103" s="5">
        <v>2</v>
      </c>
      <c r="B103" s="5" t="s">
        <v>133</v>
      </c>
      <c r="C103" s="5" t="s">
        <v>65</v>
      </c>
      <c r="D103" s="6">
        <v>50012</v>
      </c>
      <c r="E103" s="7">
        <v>118167.412</v>
      </c>
      <c r="F103" s="7">
        <v>1215351.73</v>
      </c>
      <c r="G103" s="7">
        <v>117.303</v>
      </c>
      <c r="H103" s="11">
        <f xml:space="preserve"> 0.0000178751*Table1[[#This Row],[x]] + 8.7126697145</f>
        <v>10.8249240207412</v>
      </c>
      <c r="I103" s="11">
        <f xml:space="preserve"> 0.0000090591*Table1[[#This Row],[y]] + 48.9228858653</f>
        <v>59.932878722543002</v>
      </c>
      <c r="J103" s="7">
        <v>4.762999999999991</v>
      </c>
      <c r="K103" s="7">
        <v>112.54</v>
      </c>
      <c r="L103" s="5" t="s">
        <v>138</v>
      </c>
    </row>
    <row r="104" spans="1:12" x14ac:dyDescent="0.25">
      <c r="A104" s="5">
        <v>2</v>
      </c>
      <c r="B104" s="5" t="s">
        <v>133</v>
      </c>
      <c r="C104" s="5" t="s">
        <v>66</v>
      </c>
      <c r="D104" s="6">
        <v>50021</v>
      </c>
      <c r="E104" s="7">
        <v>119242.905</v>
      </c>
      <c r="F104" s="7">
        <v>1215149.73</v>
      </c>
      <c r="G104" s="7">
        <v>88.251000000000005</v>
      </c>
      <c r="H104" s="11">
        <f xml:space="preserve"> 0.0000178751*Table1[[#This Row],[x]] + 8.7126697145</f>
        <v>10.844148565665501</v>
      </c>
      <c r="I104" s="11">
        <f xml:space="preserve"> 0.0000090591*Table1[[#This Row],[y]] + 48.9228858653</f>
        <v>59.931048784343005</v>
      </c>
      <c r="J104" s="7">
        <v>18</v>
      </c>
      <c r="K104" s="7">
        <v>70.250999450683594</v>
      </c>
      <c r="L104" s="5" t="s">
        <v>143</v>
      </c>
    </row>
    <row r="105" spans="1:12" x14ac:dyDescent="0.25">
      <c r="A105" s="5">
        <v>2</v>
      </c>
      <c r="B105" s="5" t="s">
        <v>133</v>
      </c>
      <c r="C105" s="5" t="s">
        <v>67</v>
      </c>
      <c r="D105" s="6">
        <v>50022</v>
      </c>
      <c r="E105" s="7">
        <v>119242.905</v>
      </c>
      <c r="F105" s="7">
        <v>1215149.73</v>
      </c>
      <c r="G105" s="7">
        <v>88.251000000000005</v>
      </c>
      <c r="H105" s="11">
        <f xml:space="preserve"> 0.0000178751*Table1[[#This Row],[x]] + 8.7126697145</f>
        <v>10.844148565665501</v>
      </c>
      <c r="I105" s="11">
        <f xml:space="preserve"> 0.0000090591*Table1[[#This Row],[y]] + 48.9228858653</f>
        <v>59.931048784343005</v>
      </c>
      <c r="J105" s="7">
        <v>10</v>
      </c>
      <c r="K105" s="7">
        <v>78.250999450683594</v>
      </c>
      <c r="L105" s="5" t="s">
        <v>142</v>
      </c>
    </row>
    <row r="106" spans="1:12" x14ac:dyDescent="0.25">
      <c r="A106" s="5">
        <v>2</v>
      </c>
      <c r="B106" s="5" t="s">
        <v>133</v>
      </c>
      <c r="C106" s="5" t="s">
        <v>68</v>
      </c>
      <c r="D106" s="6">
        <v>15521</v>
      </c>
      <c r="E106" s="7">
        <v>119698.776</v>
      </c>
      <c r="F106" s="7">
        <v>1214740.76</v>
      </c>
      <c r="G106" s="7">
        <v>93.875</v>
      </c>
      <c r="H106" s="11">
        <f xml:space="preserve"> 0.0000178751*Table1[[#This Row],[x]] + 8.7126697145</f>
        <v>10.852297305377601</v>
      </c>
      <c r="I106" s="11">
        <f xml:space="preserve"> 0.0000090591*Table1[[#This Row],[y]] + 48.9228858653</f>
        <v>59.927343884216</v>
      </c>
      <c r="J106" s="7">
        <v>15.1</v>
      </c>
      <c r="K106" s="7">
        <v>78.775001525878906</v>
      </c>
      <c r="L106" s="5" t="s">
        <v>145</v>
      </c>
    </row>
    <row r="107" spans="1:12" x14ac:dyDescent="0.25">
      <c r="A107" s="5">
        <v>2</v>
      </c>
      <c r="B107" s="5" t="s">
        <v>133</v>
      </c>
      <c r="C107" s="5" t="s">
        <v>69</v>
      </c>
      <c r="D107" s="6">
        <v>50041</v>
      </c>
      <c r="E107" s="7">
        <v>119806.144</v>
      </c>
      <c r="F107" s="7">
        <v>1214783.6200000001</v>
      </c>
      <c r="G107" s="7">
        <v>96.991</v>
      </c>
      <c r="H107" s="11">
        <f xml:space="preserve"> 0.0000178751*Table1[[#This Row],[x]] + 8.7126697145</f>
        <v>10.8542165191144</v>
      </c>
      <c r="I107" s="11">
        <f xml:space="preserve"> 0.0000090591*Table1[[#This Row],[y]] + 48.9228858653</f>
        <v>59.927732157242005</v>
      </c>
      <c r="J107" s="7">
        <v>26.9</v>
      </c>
      <c r="K107" s="7">
        <v>70.090995788574219</v>
      </c>
      <c r="L107" s="5" t="s">
        <v>186</v>
      </c>
    </row>
    <row r="108" spans="1:12" x14ac:dyDescent="0.25">
      <c r="A108" s="5">
        <v>2</v>
      </c>
      <c r="B108" s="5" t="s">
        <v>133</v>
      </c>
      <c r="C108" s="5" t="s">
        <v>70</v>
      </c>
      <c r="D108" s="6">
        <v>50042</v>
      </c>
      <c r="E108" s="7">
        <v>119806.144</v>
      </c>
      <c r="F108" s="7">
        <v>1214783.6200000001</v>
      </c>
      <c r="G108" s="7">
        <v>96.991</v>
      </c>
      <c r="H108" s="11">
        <f xml:space="preserve"> 0.0000178751*Table1[[#This Row],[x]] + 8.7126697145</f>
        <v>10.8542165191144</v>
      </c>
      <c r="I108" s="11">
        <f xml:space="preserve"> 0.0000090591*Table1[[#This Row],[y]] + 48.9228858653</f>
        <v>59.927732157242005</v>
      </c>
      <c r="J108" s="7">
        <v>15</v>
      </c>
      <c r="K108" s="7">
        <v>81.990997314453125</v>
      </c>
      <c r="L108" s="5" t="s">
        <v>198</v>
      </c>
    </row>
    <row r="109" spans="1:12" x14ac:dyDescent="0.25">
      <c r="A109" s="5">
        <v>2</v>
      </c>
      <c r="B109" s="5" t="s">
        <v>133</v>
      </c>
      <c r="C109" s="5" t="s">
        <v>71</v>
      </c>
      <c r="D109" s="6">
        <v>50101</v>
      </c>
      <c r="E109" s="7">
        <v>119180.33900000001</v>
      </c>
      <c r="F109" s="7">
        <v>1214654.3600000001</v>
      </c>
      <c r="G109" s="7">
        <v>94.257999999999996</v>
      </c>
      <c r="H109" s="11">
        <f xml:space="preserve"> 0.0000178751*Table1[[#This Row],[x]] + 8.7126697145</f>
        <v>10.843030192158901</v>
      </c>
      <c r="I109" s="11">
        <f xml:space="preserve"> 0.0000090591*Table1[[#This Row],[y]] + 48.9228858653</f>
        <v>59.926561177976005</v>
      </c>
      <c r="J109" s="7">
        <v>48.1</v>
      </c>
      <c r="K109" s="7">
        <v>46.158004760742188</v>
      </c>
      <c r="L109" s="5" t="s">
        <v>141</v>
      </c>
    </row>
    <row r="110" spans="1:12" x14ac:dyDescent="0.25">
      <c r="A110" s="5">
        <v>2</v>
      </c>
      <c r="B110" s="5" t="s">
        <v>133</v>
      </c>
      <c r="C110" s="5" t="s">
        <v>72</v>
      </c>
      <c r="D110" s="6">
        <v>50102</v>
      </c>
      <c r="E110" s="7">
        <v>119180.33900000001</v>
      </c>
      <c r="F110" s="7">
        <v>1214654.3600000001</v>
      </c>
      <c r="G110" s="7">
        <v>94.257999999999996</v>
      </c>
      <c r="H110" s="11">
        <f xml:space="preserve"> 0.0000178751*Table1[[#This Row],[x]] + 8.7126697145</f>
        <v>10.843030192158901</v>
      </c>
      <c r="I110" s="11">
        <f xml:space="preserve"> 0.0000090591*Table1[[#This Row],[y]] + 48.9228858653</f>
        <v>59.926561177976005</v>
      </c>
      <c r="J110" s="7">
        <v>10.1</v>
      </c>
      <c r="K110" s="7">
        <v>84.158004760742188</v>
      </c>
      <c r="L110" s="5" t="s">
        <v>145</v>
      </c>
    </row>
    <row r="111" spans="1:12" x14ac:dyDescent="0.25">
      <c r="A111" s="5">
        <v>1</v>
      </c>
      <c r="B111" s="5" t="s">
        <v>133</v>
      </c>
      <c r="C111" s="5" t="s">
        <v>73</v>
      </c>
      <c r="D111" s="6">
        <v>60301</v>
      </c>
      <c r="E111" s="7">
        <v>119923.08500000001</v>
      </c>
      <c r="F111" s="7">
        <v>1213973.8999999999</v>
      </c>
      <c r="G111" s="7">
        <v>173.08199999999999</v>
      </c>
      <c r="H111" s="11">
        <f xml:space="preserve"> 0.0000178751*Table1[[#This Row],[x]] + 8.7126697145</f>
        <v>10.856306851183501</v>
      </c>
      <c r="I111" s="11">
        <f xml:space="preserve"> 0.0000090591*Table1[[#This Row],[y]] + 48.9228858653</f>
        <v>59.920396822790003</v>
      </c>
      <c r="J111" s="7">
        <v>13</v>
      </c>
      <c r="K111" s="7">
        <v>160.0820007324219</v>
      </c>
      <c r="L111" s="5" t="s">
        <v>199</v>
      </c>
    </row>
    <row r="112" spans="1:12" x14ac:dyDescent="0.25">
      <c r="A112" s="5">
        <v>1</v>
      </c>
      <c r="B112" s="5" t="s">
        <v>133</v>
      </c>
      <c r="C112" s="5" t="s">
        <v>74</v>
      </c>
      <c r="D112" s="6">
        <v>60302</v>
      </c>
      <c r="E112" s="7">
        <v>119923.08500000001</v>
      </c>
      <c r="F112" s="7">
        <v>1213973.8999999999</v>
      </c>
      <c r="G112" s="7">
        <v>173.08199999999999</v>
      </c>
      <c r="H112" s="11">
        <f xml:space="preserve"> 0.0000178751*Table1[[#This Row],[x]] + 8.7126697145</f>
        <v>10.856306851183501</v>
      </c>
      <c r="I112" s="11">
        <f xml:space="preserve"> 0.0000090591*Table1[[#This Row],[y]] + 48.9228858653</f>
        <v>59.920396822790003</v>
      </c>
      <c r="J112" s="7">
        <v>7</v>
      </c>
      <c r="K112" s="7">
        <v>166.0820007324219</v>
      </c>
      <c r="L112" s="5" t="s">
        <v>200</v>
      </c>
    </row>
    <row r="113" spans="1:12" x14ac:dyDescent="0.25">
      <c r="A113" s="5">
        <v>1</v>
      </c>
      <c r="B113" s="5" t="s">
        <v>133</v>
      </c>
      <c r="C113" s="5" t="s">
        <v>75</v>
      </c>
      <c r="D113" s="6">
        <v>60331</v>
      </c>
      <c r="E113" s="7">
        <v>120263.1</v>
      </c>
      <c r="F113" s="7">
        <v>1214288.8400000001</v>
      </c>
      <c r="G113" s="7">
        <v>165.50299999999999</v>
      </c>
      <c r="H113" s="11">
        <f xml:space="preserve"> 0.0000178751*Table1[[#This Row],[x]] + 8.7126697145</f>
        <v>10.86238465331</v>
      </c>
      <c r="I113" s="11">
        <f xml:space="preserve"> 0.0000090591*Table1[[#This Row],[y]] + 48.9228858653</f>
        <v>59.923249895744007</v>
      </c>
      <c r="J113" s="7">
        <v>16</v>
      </c>
      <c r="K113" s="7">
        <v>149.50300598144531</v>
      </c>
      <c r="L113" s="5" t="s">
        <v>143</v>
      </c>
    </row>
    <row r="114" spans="1:12" x14ac:dyDescent="0.25">
      <c r="A114" s="5">
        <v>1</v>
      </c>
      <c r="B114" s="5" t="s">
        <v>133</v>
      </c>
      <c r="C114" s="5" t="s">
        <v>76</v>
      </c>
      <c r="D114" s="6">
        <v>60332</v>
      </c>
      <c r="E114" s="7">
        <v>120263.1</v>
      </c>
      <c r="F114" s="7">
        <v>1214288.8400000001</v>
      </c>
      <c r="G114" s="7">
        <v>165.50299999999999</v>
      </c>
      <c r="H114" s="11">
        <f xml:space="preserve"> 0.0000178751*Table1[[#This Row],[x]] + 8.7126697145</f>
        <v>10.86238465331</v>
      </c>
      <c r="I114" s="11">
        <f xml:space="preserve"> 0.0000090591*Table1[[#This Row],[y]] + 48.9228858653</f>
        <v>59.923249895744007</v>
      </c>
      <c r="J114" s="7">
        <v>5</v>
      </c>
      <c r="K114" s="7">
        <v>160.50300598144531</v>
      </c>
      <c r="L114" s="5" t="s">
        <v>142</v>
      </c>
    </row>
    <row r="115" spans="1:12" x14ac:dyDescent="0.25">
      <c r="A115" s="5">
        <v>1</v>
      </c>
      <c r="B115" s="5" t="s">
        <v>133</v>
      </c>
      <c r="C115" s="5" t="s">
        <v>77</v>
      </c>
      <c r="D115" s="6"/>
      <c r="E115" s="7">
        <v>119990.24099999999</v>
      </c>
      <c r="F115" s="7">
        <v>1214396.9720000001</v>
      </c>
      <c r="G115" s="7">
        <v>156.14699999999999</v>
      </c>
      <c r="H115" s="11">
        <f xml:space="preserve"> 0.0000178751*Table1[[#This Row],[x]] + 8.7126697145</f>
        <v>10.857507271399101</v>
      </c>
      <c r="I115" s="11">
        <f xml:space="preserve"> 0.0000090591*Table1[[#This Row],[y]] + 48.9228858653</f>
        <v>59.924229474345204</v>
      </c>
      <c r="J115" s="7">
        <v>8.5</v>
      </c>
      <c r="K115" s="7">
        <v>147.64699999999999</v>
      </c>
      <c r="L115" s="5" t="s">
        <v>201</v>
      </c>
    </row>
    <row r="116" spans="1:12" x14ac:dyDescent="0.25">
      <c r="A116" s="5">
        <v>2</v>
      </c>
      <c r="B116" s="5" t="s">
        <v>133</v>
      </c>
      <c r="C116" s="5" t="s">
        <v>78</v>
      </c>
      <c r="D116" s="6">
        <v>22169</v>
      </c>
      <c r="E116" s="7">
        <v>119771.819</v>
      </c>
      <c r="F116" s="7">
        <v>1214570.2350000001</v>
      </c>
      <c r="G116" s="7">
        <v>95.968000000000004</v>
      </c>
      <c r="H116" s="11">
        <f xml:space="preserve"> 0.0000178751*Table1[[#This Row],[x]] + 8.7126697145</f>
        <v>10.853602956306901</v>
      </c>
      <c r="I116" s="11">
        <f xml:space="preserve"> 0.0000090591*Table1[[#This Row],[y]] + 48.9228858653</f>
        <v>59.925799081188501</v>
      </c>
      <c r="J116" s="7">
        <v>4.6000000000000085</v>
      </c>
      <c r="K116" s="7">
        <v>91.367999999999995</v>
      </c>
      <c r="L116" s="5" t="s">
        <v>134</v>
      </c>
    </row>
    <row r="117" spans="1:12" x14ac:dyDescent="0.25">
      <c r="A117" s="5">
        <v>2</v>
      </c>
      <c r="B117" s="5" t="s">
        <v>133</v>
      </c>
      <c r="C117" s="5" t="s">
        <v>79</v>
      </c>
      <c r="D117" s="6">
        <v>185719</v>
      </c>
      <c r="E117" s="7">
        <v>119556.192</v>
      </c>
      <c r="F117" s="7">
        <v>1214540.1089999999</v>
      </c>
      <c r="G117" s="7">
        <v>93.414000000000001</v>
      </c>
      <c r="H117" s="11">
        <f xml:space="preserve"> 0.0000178751*Table1[[#This Row],[x]] + 8.7126697145</f>
        <v>10.849748602119201</v>
      </c>
      <c r="I117" s="11">
        <f xml:space="preserve"> 0.0000090591*Table1[[#This Row],[y]] + 48.9228858653</f>
        <v>59.925526166741903</v>
      </c>
      <c r="J117" s="7">
        <v>28.5</v>
      </c>
      <c r="K117" s="7">
        <v>64.91400146484375</v>
      </c>
      <c r="L117" s="5" t="s">
        <v>134</v>
      </c>
    </row>
    <row r="118" spans="1:12" x14ac:dyDescent="0.25">
      <c r="A118" s="5">
        <v>2</v>
      </c>
      <c r="B118" s="5" t="s">
        <v>133</v>
      </c>
      <c r="C118" s="5" t="s">
        <v>80</v>
      </c>
      <c r="D118" s="6">
        <v>22155</v>
      </c>
      <c r="E118" s="7">
        <v>119392.413</v>
      </c>
      <c r="F118" s="7">
        <v>1215025.7139999999</v>
      </c>
      <c r="G118" s="7">
        <v>93.046000000000006</v>
      </c>
      <c r="H118" s="11">
        <f xml:space="preserve"> 0.0000178751*Table1[[#This Row],[x]] + 8.7126697145</f>
        <v>10.8468210361163</v>
      </c>
      <c r="I118" s="11">
        <f xml:space="preserve"> 0.0000090591*Table1[[#This Row],[y]] + 48.9228858653</f>
        <v>59.929925310997405</v>
      </c>
      <c r="J118" s="7">
        <v>13.300000000000011</v>
      </c>
      <c r="K118" s="7">
        <v>79.745999999999995</v>
      </c>
      <c r="L118" s="5" t="s">
        <v>174</v>
      </c>
    </row>
    <row r="119" spans="1:12" x14ac:dyDescent="0.25">
      <c r="A119" s="5">
        <v>2</v>
      </c>
      <c r="B119" s="5" t="s">
        <v>133</v>
      </c>
      <c r="C119" s="5" t="s">
        <v>81</v>
      </c>
      <c r="D119" s="6"/>
      <c r="E119" s="7">
        <v>119325.04300000001</v>
      </c>
      <c r="F119" s="7">
        <v>1214814.523</v>
      </c>
      <c r="G119" s="7">
        <v>94.088999999999999</v>
      </c>
      <c r="H119" s="11">
        <f xml:space="preserve"> 0.0000178751*Table1[[#This Row],[x]] + 8.7126697145</f>
        <v>10.8456167906293</v>
      </c>
      <c r="I119" s="11">
        <f xml:space="preserve"> 0.0000090591*Table1[[#This Row],[y]] + 48.9228858653</f>
        <v>59.928012110609302</v>
      </c>
      <c r="J119" s="7">
        <v>24.5</v>
      </c>
      <c r="K119" s="7">
        <v>69.588999999999999</v>
      </c>
      <c r="L119" s="5" t="s">
        <v>174</v>
      </c>
    </row>
    <row r="120" spans="1:12" x14ac:dyDescent="0.25">
      <c r="A120" s="5">
        <v>2</v>
      </c>
      <c r="B120" s="5" t="s">
        <v>133</v>
      </c>
      <c r="C120" s="5" t="s">
        <v>82</v>
      </c>
      <c r="D120" s="6">
        <v>22189</v>
      </c>
      <c r="E120" s="7">
        <v>119286.963</v>
      </c>
      <c r="F120" s="7">
        <v>1214525.3330000001</v>
      </c>
      <c r="G120" s="7">
        <v>91.46</v>
      </c>
      <c r="H120" s="11">
        <f xml:space="preserve"> 0.0000178751*Table1[[#This Row],[x]] + 8.7126697145</f>
        <v>10.844936106821301</v>
      </c>
      <c r="I120" s="11">
        <f xml:space="preserve"> 0.0000090591*Table1[[#This Row],[y]] + 48.9228858653</f>
        <v>59.925392309480301</v>
      </c>
      <c r="J120" s="7">
        <v>47.5</v>
      </c>
      <c r="K120" s="7">
        <v>43.959999084472663</v>
      </c>
      <c r="L120" s="5" t="s">
        <v>202</v>
      </c>
    </row>
    <row r="121" spans="1:12" x14ac:dyDescent="0.25">
      <c r="A121" s="5">
        <v>2</v>
      </c>
      <c r="B121" s="5" t="s">
        <v>133</v>
      </c>
      <c r="C121" s="5" t="s">
        <v>83</v>
      </c>
      <c r="D121" s="6">
        <v>22158</v>
      </c>
      <c r="E121" s="7">
        <v>119126.505</v>
      </c>
      <c r="F121" s="7">
        <v>1214915.037</v>
      </c>
      <c r="G121" s="7">
        <v>83.683000000000007</v>
      </c>
      <c r="H121" s="11">
        <f xml:space="preserve"> 0.0000178751*Table1[[#This Row],[x]] + 8.7126697145</f>
        <v>10.842067904025502</v>
      </c>
      <c r="I121" s="11">
        <f xml:space="preserve"> 0.0000090591*Table1[[#This Row],[y]] + 48.9228858653</f>
        <v>59.928922676986701</v>
      </c>
      <c r="J121" s="7">
        <v>19.800000000000004</v>
      </c>
      <c r="K121" s="7">
        <v>63.883000000000003</v>
      </c>
      <c r="L121" s="5" t="s">
        <v>143</v>
      </c>
    </row>
    <row r="122" spans="1:12" x14ac:dyDescent="0.25">
      <c r="A122" s="5">
        <v>2</v>
      </c>
      <c r="B122" s="5" t="s">
        <v>133</v>
      </c>
      <c r="C122" s="5" t="s">
        <v>84</v>
      </c>
      <c r="D122" s="6">
        <v>22194</v>
      </c>
      <c r="E122" s="7">
        <v>119064.70699999999</v>
      </c>
      <c r="F122" s="7">
        <v>1215296.466</v>
      </c>
      <c r="G122" s="7">
        <v>97.138000000000005</v>
      </c>
      <c r="H122" s="11">
        <f xml:space="preserve"> 0.0000178751*Table1[[#This Row],[x]] + 8.7126697145</f>
        <v>10.8409632585957</v>
      </c>
      <c r="I122" s="11">
        <f xml:space="preserve"> 0.0000090591*Table1[[#This Row],[y]] + 48.9228858653</f>
        <v>59.9323780804406</v>
      </c>
      <c r="J122" s="7">
        <v>31.700000000000003</v>
      </c>
      <c r="K122" s="7">
        <v>65.438000000000002</v>
      </c>
      <c r="L122" s="5" t="s">
        <v>203</v>
      </c>
    </row>
    <row r="123" spans="1:12" x14ac:dyDescent="0.25">
      <c r="A123" s="5">
        <v>2</v>
      </c>
      <c r="B123" s="5" t="s">
        <v>133</v>
      </c>
      <c r="C123" s="5" t="s">
        <v>85</v>
      </c>
      <c r="D123" s="6">
        <v>22190</v>
      </c>
      <c r="E123" s="7">
        <v>119026.757</v>
      </c>
      <c r="F123" s="7">
        <v>1214636.5349999999</v>
      </c>
      <c r="G123" s="7">
        <v>87.994</v>
      </c>
      <c r="H123" s="11">
        <f xml:space="preserve"> 0.0000178751*Table1[[#This Row],[x]] + 8.7126697145</f>
        <v>10.840284898550701</v>
      </c>
      <c r="I123" s="11">
        <f xml:space="preserve"> 0.0000090591*Table1[[#This Row],[y]] + 48.9228858653</f>
        <v>59.926399699518498</v>
      </c>
      <c r="J123" s="7">
        <v>51.6</v>
      </c>
      <c r="K123" s="7">
        <v>36.394004821777337</v>
      </c>
      <c r="L123" s="5" t="s">
        <v>143</v>
      </c>
    </row>
    <row r="124" spans="1:12" x14ac:dyDescent="0.25">
      <c r="A124" s="5">
        <v>2</v>
      </c>
      <c r="B124" s="5" t="s">
        <v>133</v>
      </c>
      <c r="C124" s="5" t="s">
        <v>86</v>
      </c>
      <c r="D124" s="6">
        <v>22195</v>
      </c>
      <c r="E124" s="7">
        <v>119013.774</v>
      </c>
      <c r="F124" s="7">
        <v>1215133.6270000001</v>
      </c>
      <c r="G124" s="7">
        <v>96.391000000000005</v>
      </c>
      <c r="H124" s="11">
        <f xml:space="preserve"> 0.0000178751*Table1[[#This Row],[x]] + 8.7126697145</f>
        <v>10.840052826127401</v>
      </c>
      <c r="I124" s="11">
        <f xml:space="preserve"> 0.0000090591*Table1[[#This Row],[y]] + 48.9228858653</f>
        <v>59.930902905655699</v>
      </c>
      <c r="J124" s="7">
        <v>26.100000000000009</v>
      </c>
      <c r="K124" s="7">
        <v>70.290999999999997</v>
      </c>
      <c r="L124" s="5" t="s">
        <v>192</v>
      </c>
    </row>
    <row r="125" spans="1:12" x14ac:dyDescent="0.25">
      <c r="A125" s="5">
        <v>2</v>
      </c>
      <c r="B125" s="5" t="s">
        <v>133</v>
      </c>
      <c r="C125" s="5" t="s">
        <v>87</v>
      </c>
      <c r="D125" s="6"/>
      <c r="E125" s="7">
        <v>118846.59299999999</v>
      </c>
      <c r="F125" s="7">
        <v>1214791.3119999999</v>
      </c>
      <c r="G125" s="7">
        <v>95.745000000000005</v>
      </c>
      <c r="H125" s="11">
        <f xml:space="preserve"> 0.0000178751*Table1[[#This Row],[x]] + 8.7126697145</f>
        <v>10.837064449034301</v>
      </c>
      <c r="I125" s="11">
        <f xml:space="preserve"> 0.0000090591*Table1[[#This Row],[y]] + 48.9228858653</f>
        <v>59.927801839839205</v>
      </c>
      <c r="J125" s="7">
        <v>32.6</v>
      </c>
      <c r="K125" s="7">
        <v>63.145000000000003</v>
      </c>
      <c r="L125" s="5" t="s">
        <v>195</v>
      </c>
    </row>
    <row r="126" spans="1:12" x14ac:dyDescent="0.25">
      <c r="A126" s="5">
        <v>2</v>
      </c>
      <c r="B126" s="5" t="s">
        <v>133</v>
      </c>
      <c r="C126" s="5" t="s">
        <v>88</v>
      </c>
      <c r="D126" s="6">
        <v>22151</v>
      </c>
      <c r="E126" s="7">
        <v>118815.211</v>
      </c>
      <c r="F126" s="7">
        <v>1215167.415</v>
      </c>
      <c r="G126" s="7">
        <v>98.191000000000003</v>
      </c>
      <c r="H126" s="11">
        <f xml:space="preserve"> 0.0000178751*Table1[[#This Row],[x]] + 8.7126697145</f>
        <v>10.8365034926461</v>
      </c>
      <c r="I126" s="11">
        <f xml:space="preserve"> 0.0000090591*Table1[[#This Row],[y]] + 48.9228858653</f>
        <v>59.9312089945265</v>
      </c>
      <c r="J126" s="7">
        <v>16.200000000000003</v>
      </c>
      <c r="K126" s="7">
        <v>81.991</v>
      </c>
      <c r="L126" s="5" t="s">
        <v>178</v>
      </c>
    </row>
    <row r="127" spans="1:12" x14ac:dyDescent="0.25">
      <c r="A127" s="5">
        <v>2</v>
      </c>
      <c r="B127" s="5" t="s">
        <v>133</v>
      </c>
      <c r="C127" s="5" t="s">
        <v>89</v>
      </c>
      <c r="D127" s="6">
        <v>22102</v>
      </c>
      <c r="E127" s="7">
        <v>118787.442</v>
      </c>
      <c r="F127" s="7">
        <v>1215086.2690000001</v>
      </c>
      <c r="G127" s="7">
        <v>98.004999999999995</v>
      </c>
      <c r="H127" s="11">
        <f xml:space="preserve"> 0.0000178751*Table1[[#This Row],[x]] + 8.7126697145</f>
        <v>10.8360071189942</v>
      </c>
      <c r="I127" s="11">
        <f xml:space="preserve"> 0.0000090591*Table1[[#This Row],[y]] + 48.9228858653</f>
        <v>59.930473884797905</v>
      </c>
      <c r="J127" s="7">
        <v>21.199999999999989</v>
      </c>
      <c r="K127" s="7">
        <v>76.805000000000007</v>
      </c>
      <c r="L127" s="5" t="s">
        <v>195</v>
      </c>
    </row>
    <row r="128" spans="1:12" x14ac:dyDescent="0.25">
      <c r="A128" s="5">
        <v>2</v>
      </c>
      <c r="B128" s="5" t="s">
        <v>133</v>
      </c>
      <c r="C128" s="5" t="s">
        <v>90</v>
      </c>
      <c r="D128" s="6">
        <v>22196</v>
      </c>
      <c r="E128" s="7">
        <v>118728.683</v>
      </c>
      <c r="F128" s="7">
        <v>1214669.406</v>
      </c>
      <c r="G128" s="7">
        <v>95.394000000000005</v>
      </c>
      <c r="H128" s="11">
        <f xml:space="preserve"> 0.0000178751*Table1[[#This Row],[x]] + 8.7126697145</f>
        <v>10.8349567959933</v>
      </c>
      <c r="I128" s="11">
        <f xml:space="preserve"> 0.0000090591*Table1[[#This Row],[y]] + 48.9228858653</f>
        <v>59.926697481194601</v>
      </c>
      <c r="J128" s="7">
        <v>38.900000000000006</v>
      </c>
      <c r="K128" s="7">
        <v>56.494</v>
      </c>
      <c r="L128" s="5" t="s">
        <v>195</v>
      </c>
    </row>
    <row r="129" spans="1:12" x14ac:dyDescent="0.25">
      <c r="A129" s="5">
        <v>2</v>
      </c>
      <c r="B129" s="5" t="s">
        <v>133</v>
      </c>
      <c r="C129" s="5" t="s">
        <v>91</v>
      </c>
      <c r="D129" s="6"/>
      <c r="E129" s="7">
        <v>118724.5003</v>
      </c>
      <c r="F129" s="7">
        <v>1215341.7830000001</v>
      </c>
      <c r="G129" s="7"/>
      <c r="H129" s="11">
        <f xml:space="preserve"> 0.0000178751*Table1[[#This Row],[x]] + 8.7126697145</f>
        <v>10.83488202981253</v>
      </c>
      <c r="I129" s="11">
        <f xml:space="preserve"> 0.0000090591*Table1[[#This Row],[y]] + 48.9228858653</f>
        <v>59.932788611675306</v>
      </c>
      <c r="J129" s="7">
        <v>5.4</v>
      </c>
      <c r="K129" s="7"/>
      <c r="L129" s="5" t="s">
        <v>193</v>
      </c>
    </row>
    <row r="130" spans="1:12" x14ac:dyDescent="0.25">
      <c r="A130" s="5">
        <v>2</v>
      </c>
      <c r="B130" s="5" t="s">
        <v>133</v>
      </c>
      <c r="C130" s="5" t="s">
        <v>92</v>
      </c>
      <c r="D130" s="6">
        <v>22105</v>
      </c>
      <c r="E130" s="7">
        <v>118386.906</v>
      </c>
      <c r="F130" s="7">
        <v>1215272.4480000001</v>
      </c>
      <c r="G130" s="7">
        <v>114.352</v>
      </c>
      <c r="H130" s="11">
        <f xml:space="preserve"> 0.0000178751*Table1[[#This Row],[x]] + 8.7126697145</f>
        <v>10.8288474979406</v>
      </c>
      <c r="I130" s="11">
        <f xml:space="preserve"> 0.0000090591*Table1[[#This Row],[y]] + 48.9228858653</f>
        <v>59.932160498976799</v>
      </c>
      <c r="J130" s="7">
        <v>16.00200000000001</v>
      </c>
      <c r="K130" s="7">
        <v>98.35</v>
      </c>
      <c r="L130" s="5" t="s">
        <v>174</v>
      </c>
    </row>
    <row r="131" spans="1:12" x14ac:dyDescent="0.25">
      <c r="A131" s="5">
        <v>2</v>
      </c>
      <c r="B131" s="5" t="s">
        <v>133</v>
      </c>
      <c r="C131" s="5" t="s">
        <v>93</v>
      </c>
      <c r="D131" s="6">
        <v>22152</v>
      </c>
      <c r="E131" s="7">
        <v>118386.906</v>
      </c>
      <c r="F131" s="7">
        <v>1215272.4480000001</v>
      </c>
      <c r="G131" s="7">
        <v>114.352</v>
      </c>
      <c r="H131" s="11">
        <f xml:space="preserve"> 0.0000178751*Table1[[#This Row],[x]] + 8.7126697145</f>
        <v>10.8288474979406</v>
      </c>
      <c r="I131" s="11">
        <f xml:space="preserve"> 0.0000090591*Table1[[#This Row],[y]] + 48.9228858653</f>
        <v>59.932160498976799</v>
      </c>
      <c r="J131" s="7">
        <v>10.00200000000001</v>
      </c>
      <c r="K131" s="7">
        <v>104.35</v>
      </c>
      <c r="L131" s="5" t="s">
        <v>176</v>
      </c>
    </row>
    <row r="132" spans="1:12" x14ac:dyDescent="0.25">
      <c r="A132" s="5">
        <v>2</v>
      </c>
      <c r="B132" s="5" t="s">
        <v>133</v>
      </c>
      <c r="C132" s="5" t="s">
        <v>94</v>
      </c>
      <c r="D132" s="6">
        <v>22143</v>
      </c>
      <c r="E132" s="7">
        <v>118386.906</v>
      </c>
      <c r="F132" s="7">
        <v>1215272.4480000001</v>
      </c>
      <c r="G132" s="7">
        <v>114.352</v>
      </c>
      <c r="H132" s="11">
        <f xml:space="preserve"> 0.0000178751*Table1[[#This Row],[x]] + 8.7126697145</f>
        <v>10.8288474979406</v>
      </c>
      <c r="I132" s="11">
        <f xml:space="preserve"> 0.0000090591*Table1[[#This Row],[y]] + 48.9228858653</f>
        <v>59.932160498976799</v>
      </c>
      <c r="J132" s="7">
        <v>5.0020000000000095</v>
      </c>
      <c r="K132" s="7">
        <v>109.35</v>
      </c>
      <c r="L132" s="5" t="s">
        <v>176</v>
      </c>
    </row>
    <row r="133" spans="1:12" x14ac:dyDescent="0.25">
      <c r="A133" s="5">
        <v>2</v>
      </c>
      <c r="B133" s="5" t="s">
        <v>133</v>
      </c>
      <c r="C133" s="5" t="s">
        <v>95</v>
      </c>
      <c r="D133" s="6">
        <v>22119</v>
      </c>
      <c r="E133" s="7">
        <v>118316.34</v>
      </c>
      <c r="F133" s="7">
        <v>1215149.753</v>
      </c>
      <c r="G133" s="7">
        <v>113.883</v>
      </c>
      <c r="H133" s="11">
        <f xml:space="preserve"> 0.0000178751*Table1[[#This Row],[x]] + 8.7126697145</f>
        <v>10.827586123634001</v>
      </c>
      <c r="I133" s="11">
        <f xml:space="preserve"> 0.0000090591*Table1[[#This Row],[y]] + 48.9228858653</f>
        <v>59.931048992702301</v>
      </c>
      <c r="J133" s="7">
        <v>22.202999999999989</v>
      </c>
      <c r="K133" s="7">
        <v>91.68</v>
      </c>
      <c r="L133" s="5" t="s">
        <v>193</v>
      </c>
    </row>
    <row r="134" spans="1:12" x14ac:dyDescent="0.25">
      <c r="A134" s="5">
        <v>2</v>
      </c>
      <c r="B134" s="5" t="s">
        <v>133</v>
      </c>
      <c r="C134" s="5" t="s">
        <v>96</v>
      </c>
      <c r="D134" s="6"/>
      <c r="E134" s="7">
        <v>118215.9904</v>
      </c>
      <c r="F134" s="7">
        <v>1215487.8097000001</v>
      </c>
      <c r="G134" s="7"/>
      <c r="H134" s="11">
        <f xml:space="preserve"> 0.0000178751*Table1[[#This Row],[x]] + 8.7126697145</f>
        <v>10.825792364499041</v>
      </c>
      <c r="I134" s="11">
        <f xml:space="preserve"> 0.0000090591*Table1[[#This Row],[y]] + 48.9228858653</f>
        <v>59.93411148215327</v>
      </c>
      <c r="J134" s="7">
        <v>17</v>
      </c>
      <c r="K134" s="7"/>
      <c r="L134" s="5" t="s">
        <v>204</v>
      </c>
    </row>
    <row r="135" spans="1:12" x14ac:dyDescent="0.25">
      <c r="A135" s="5">
        <v>2</v>
      </c>
      <c r="B135" s="5" t="s">
        <v>133</v>
      </c>
      <c r="C135" s="5" t="s">
        <v>97</v>
      </c>
      <c r="D135" s="6"/>
      <c r="E135" s="7">
        <v>117915.39200000001</v>
      </c>
      <c r="F135" s="7">
        <v>1215344.6340000001</v>
      </c>
      <c r="G135" s="7">
        <v>116.45399999999999</v>
      </c>
      <c r="H135" s="11">
        <f xml:space="preserve"> 0.0000178751*Table1[[#This Row],[x]] + 8.7126697145</f>
        <v>10.820419138039201</v>
      </c>
      <c r="I135" s="11">
        <f xml:space="preserve"> 0.0000090591*Table1[[#This Row],[y]] + 48.9228858653</f>
        <v>59.932814439169405</v>
      </c>
      <c r="J135" s="7">
        <v>16</v>
      </c>
      <c r="K135" s="7"/>
      <c r="L135" s="5" t="s">
        <v>201</v>
      </c>
    </row>
    <row r="136" spans="1:12" x14ac:dyDescent="0.25">
      <c r="A136" s="5">
        <v>3</v>
      </c>
      <c r="B136" s="5" t="s">
        <v>133</v>
      </c>
      <c r="C136" s="5" t="s">
        <v>98</v>
      </c>
      <c r="D136" s="6">
        <v>22156</v>
      </c>
      <c r="E136" s="7">
        <v>117799.68799999999</v>
      </c>
      <c r="F136" s="7">
        <v>1215555.5649999999</v>
      </c>
      <c r="G136" s="7">
        <v>124.03</v>
      </c>
      <c r="H136" s="11">
        <f xml:space="preserve"> 0.0000178751*Table1[[#This Row],[x]] + 8.7126697145</f>
        <v>10.8183509174688</v>
      </c>
      <c r="I136" s="11">
        <f xml:space="preserve"> 0.0000090591*Table1[[#This Row],[y]] + 48.9228858653</f>
        <v>59.934725284191501</v>
      </c>
      <c r="J136" s="7">
        <v>12.2</v>
      </c>
      <c r="K136" s="7">
        <v>111.8300018310547</v>
      </c>
      <c r="L136" s="5" t="s">
        <v>195</v>
      </c>
    </row>
    <row r="137" spans="1:12" x14ac:dyDescent="0.25">
      <c r="A137" s="5">
        <v>3</v>
      </c>
      <c r="B137" s="5" t="s">
        <v>133</v>
      </c>
      <c r="C137" s="5" t="s">
        <v>99</v>
      </c>
      <c r="D137" s="6">
        <v>22147</v>
      </c>
      <c r="E137" s="7">
        <v>117690.856</v>
      </c>
      <c r="F137" s="7">
        <v>1215685.121</v>
      </c>
      <c r="G137" s="7">
        <v>112.44</v>
      </c>
      <c r="H137" s="11">
        <f xml:space="preserve"> 0.0000178751*Table1[[#This Row],[x]] + 8.7126697145</f>
        <v>10.8164055345856</v>
      </c>
      <c r="I137" s="11">
        <f xml:space="preserve"> 0.0000090591*Table1[[#This Row],[y]] + 48.9228858653</f>
        <v>59.935898944951106</v>
      </c>
      <c r="J137" s="7">
        <v>17.600000000000001</v>
      </c>
      <c r="K137" s="7">
        <v>94.840003967285156</v>
      </c>
      <c r="L137" s="5" t="s">
        <v>204</v>
      </c>
    </row>
    <row r="138" spans="1:12" x14ac:dyDescent="0.25">
      <c r="A138" s="5">
        <v>3</v>
      </c>
      <c r="B138" s="5" t="s">
        <v>133</v>
      </c>
      <c r="C138" s="5" t="s">
        <v>100</v>
      </c>
      <c r="D138" s="6">
        <v>22191</v>
      </c>
      <c r="E138" s="7">
        <v>117335.258</v>
      </c>
      <c r="F138" s="7">
        <v>1215601.308</v>
      </c>
      <c r="G138" s="7">
        <v>127.254</v>
      </c>
      <c r="H138" s="11">
        <f xml:space="preserve"> 0.0000178751*Table1[[#This Row],[x]] + 8.7126697145</f>
        <v>10.810049184775801</v>
      </c>
      <c r="I138" s="11">
        <f xml:space="preserve"> 0.0000090591*Table1[[#This Row],[y]] + 48.9228858653</f>
        <v>59.935139674602802</v>
      </c>
      <c r="J138" s="7">
        <v>27</v>
      </c>
      <c r="K138" s="7">
        <v>100.2539978027344</v>
      </c>
      <c r="L138" s="5" t="s">
        <v>174</v>
      </c>
    </row>
    <row r="139" spans="1:12" x14ac:dyDescent="0.25">
      <c r="A139" s="5">
        <v>2</v>
      </c>
      <c r="B139" s="5" t="s">
        <v>133</v>
      </c>
      <c r="C139" s="5" t="s">
        <v>101</v>
      </c>
      <c r="D139" s="6">
        <v>22153</v>
      </c>
      <c r="E139" s="7">
        <v>117321.95299999999</v>
      </c>
      <c r="F139" s="7">
        <v>1215401.091</v>
      </c>
      <c r="G139" s="7">
        <v>122.251</v>
      </c>
      <c r="H139" s="11">
        <f xml:space="preserve"> 0.0000178751*Table1[[#This Row],[x]] + 8.7126697145</f>
        <v>10.8098113565703</v>
      </c>
      <c r="I139" s="11">
        <f xml:space="preserve"> 0.0000090591*Table1[[#This Row],[y]] + 48.9228858653</f>
        <v>59.9333258887781</v>
      </c>
      <c r="J139" s="7">
        <v>9.9</v>
      </c>
      <c r="K139" s="7">
        <v>112.3509979248047</v>
      </c>
      <c r="L139" s="5" t="s">
        <v>205</v>
      </c>
    </row>
    <row r="140" spans="1:12" x14ac:dyDescent="0.25">
      <c r="A140" s="5">
        <v>3</v>
      </c>
      <c r="B140" s="5" t="s">
        <v>133</v>
      </c>
      <c r="C140" s="5" t="s">
        <v>102</v>
      </c>
      <c r="D140" s="6">
        <v>22177</v>
      </c>
      <c r="E140" s="7">
        <v>117306.242</v>
      </c>
      <c r="F140" s="7">
        <v>1215758.493</v>
      </c>
      <c r="G140" s="7">
        <v>136.58799999999999</v>
      </c>
      <c r="H140" s="11">
        <f xml:space="preserve"> 0.0000178751*Table1[[#This Row],[x]] + 8.7126697145</f>
        <v>10.809530520874201</v>
      </c>
      <c r="I140" s="11">
        <f xml:space="preserve"> 0.0000090591*Table1[[#This Row],[y]] + 48.9228858653</f>
        <v>59.936563629236304</v>
      </c>
      <c r="J140" s="7">
        <v>5.25</v>
      </c>
      <c r="K140" s="7">
        <v>131.33799999999999</v>
      </c>
      <c r="L140" s="5" t="s">
        <v>205</v>
      </c>
    </row>
    <row r="141" spans="1:12" x14ac:dyDescent="0.25">
      <c r="A141" s="5">
        <v>3</v>
      </c>
      <c r="B141" s="5" t="s">
        <v>133</v>
      </c>
      <c r="C141" s="5" t="s">
        <v>103</v>
      </c>
      <c r="D141" s="6">
        <v>22176</v>
      </c>
      <c r="E141" s="7">
        <v>117298.622</v>
      </c>
      <c r="F141" s="7">
        <v>1215859.2039999999</v>
      </c>
      <c r="G141" s="7">
        <v>144.011</v>
      </c>
      <c r="H141" s="11">
        <f xml:space="preserve"> 0.0000178751*Table1[[#This Row],[x]] + 8.7126697145</f>
        <v>10.8093943126122</v>
      </c>
      <c r="I141" s="11">
        <f xml:space="preserve"> 0.0000090591*Table1[[#This Row],[y]] + 48.9228858653</f>
        <v>59.937475980256401</v>
      </c>
      <c r="J141" s="7">
        <v>6.2999999999999829</v>
      </c>
      <c r="K141" s="7">
        <v>137.71100000000001</v>
      </c>
      <c r="L141" s="5" t="s">
        <v>174</v>
      </c>
    </row>
    <row r="142" spans="1:12" x14ac:dyDescent="0.25">
      <c r="A142" s="5">
        <v>3</v>
      </c>
      <c r="B142" s="5" t="s">
        <v>133</v>
      </c>
      <c r="C142" s="5" t="s">
        <v>104</v>
      </c>
      <c r="D142" s="6">
        <v>22146</v>
      </c>
      <c r="E142" s="7">
        <v>117122.76300000001</v>
      </c>
      <c r="F142" s="7">
        <v>1216444.2749999999</v>
      </c>
      <c r="G142" s="7">
        <v>165.00299999999999</v>
      </c>
      <c r="H142" s="11">
        <f xml:space="preserve"> 0.0000178751*Table1[[#This Row],[x]] + 8.7126697145</f>
        <v>10.806250815401301</v>
      </c>
      <c r="I142" s="11">
        <f xml:space="preserve"> 0.0000090591*Table1[[#This Row],[y]] + 48.9228858653</f>
        <v>59.942776196952501</v>
      </c>
      <c r="J142" s="7">
        <v>18</v>
      </c>
      <c r="K142" s="7">
        <v>147.00300598144531</v>
      </c>
      <c r="L142" s="5" t="s">
        <v>205</v>
      </c>
    </row>
    <row r="143" spans="1:12" x14ac:dyDescent="0.25">
      <c r="A143" s="5">
        <v>3</v>
      </c>
      <c r="B143" s="5" t="s">
        <v>133</v>
      </c>
      <c r="C143" s="5" t="s">
        <v>105</v>
      </c>
      <c r="D143" s="6">
        <v>22154</v>
      </c>
      <c r="E143" s="7">
        <v>116902.27899999999</v>
      </c>
      <c r="F143" s="7">
        <v>1215886.3759999999</v>
      </c>
      <c r="G143" s="7">
        <v>138.488</v>
      </c>
      <c r="H143" s="11">
        <f xml:space="preserve"> 0.0000178751*Table1[[#This Row],[x]] + 8.7126697145</f>
        <v>10.802309641852901</v>
      </c>
      <c r="I143" s="11">
        <f xml:space="preserve"> 0.0000090591*Table1[[#This Row],[y]] + 48.9228858653</f>
        <v>59.9377221341216</v>
      </c>
      <c r="J143" s="7">
        <v>13.5</v>
      </c>
      <c r="K143" s="7">
        <v>124.9880065917969</v>
      </c>
      <c r="L143" s="5" t="s">
        <v>205</v>
      </c>
    </row>
    <row r="144" spans="1:12" x14ac:dyDescent="0.25">
      <c r="A144" s="5">
        <v>3</v>
      </c>
      <c r="B144" s="5" t="s">
        <v>133</v>
      </c>
      <c r="C144" s="5" t="s">
        <v>106</v>
      </c>
      <c r="D144" s="6">
        <v>22171</v>
      </c>
      <c r="E144" s="7">
        <v>116807.065</v>
      </c>
      <c r="F144" s="7">
        <v>1216026.8870000001</v>
      </c>
      <c r="G144" s="7">
        <v>137.114</v>
      </c>
      <c r="H144" s="11">
        <f xml:space="preserve"> 0.0000178751*Table1[[#This Row],[x]] + 8.7126697145</f>
        <v>10.8006076820815</v>
      </c>
      <c r="I144" s="11">
        <f xml:space="preserve"> 0.0000090591*Table1[[#This Row],[y]] + 48.9228858653</f>
        <v>59.938995037321703</v>
      </c>
      <c r="J144" s="7">
        <v>12.7</v>
      </c>
      <c r="K144" s="7">
        <v>124.41400146484381</v>
      </c>
      <c r="L144" s="5" t="s">
        <v>143</v>
      </c>
    </row>
    <row r="145" spans="1:12" x14ac:dyDescent="0.25">
      <c r="A145" s="5">
        <v>3</v>
      </c>
      <c r="B145" s="5" t="s">
        <v>133</v>
      </c>
      <c r="C145" s="5" t="s">
        <v>107</v>
      </c>
      <c r="D145" s="6"/>
      <c r="E145" s="7">
        <v>116557.811</v>
      </c>
      <c r="F145" s="7">
        <v>1215996.7609999999</v>
      </c>
      <c r="G145" s="7">
        <v>142.65199999999999</v>
      </c>
      <c r="H145" s="11">
        <f xml:space="preserve"> 0.0000178751*Table1[[#This Row],[x]] + 8.7126697145</f>
        <v>10.7961522419061</v>
      </c>
      <c r="I145" s="11">
        <f xml:space="preserve"> 0.0000090591*Table1[[#This Row],[y]] + 48.9228858653</f>
        <v>59.938722122875106</v>
      </c>
      <c r="J145" s="7">
        <v>11</v>
      </c>
      <c r="K145" s="7">
        <v>131.65199999999999</v>
      </c>
      <c r="L145" s="5" t="s">
        <v>205</v>
      </c>
    </row>
    <row r="146" spans="1:12" x14ac:dyDescent="0.25">
      <c r="A146" s="5">
        <v>3</v>
      </c>
      <c r="B146" s="5" t="s">
        <v>133</v>
      </c>
      <c r="C146" s="5" t="s">
        <v>108</v>
      </c>
      <c r="D146" s="6"/>
      <c r="E146" s="7">
        <v>116471.602</v>
      </c>
      <c r="F146" s="7">
        <v>1216116.2379999999</v>
      </c>
      <c r="G146" s="7">
        <v>141.03700000000001</v>
      </c>
      <c r="H146" s="11">
        <f xml:space="preserve"> 0.0000178751*Table1[[#This Row],[x]] + 8.7126697145</f>
        <v>10.794611247410201</v>
      </c>
      <c r="I146" s="11">
        <f xml:space="preserve"> 0.0000090591*Table1[[#This Row],[y]] + 48.9228858653</f>
        <v>59.939804476965804</v>
      </c>
      <c r="J146" s="7">
        <v>3.5999999999999943</v>
      </c>
      <c r="K146" s="7">
        <v>137.43700000000001</v>
      </c>
      <c r="L146" s="5" t="s">
        <v>174</v>
      </c>
    </row>
    <row r="147" spans="1:12" x14ac:dyDescent="0.25">
      <c r="A147" s="5" t="s">
        <v>147</v>
      </c>
      <c r="B147" s="5" t="s">
        <v>133</v>
      </c>
      <c r="C147" s="5" t="s">
        <v>109</v>
      </c>
      <c r="D147" s="6">
        <v>22167</v>
      </c>
      <c r="E147" s="7">
        <v>116465.217</v>
      </c>
      <c r="F147" s="7">
        <v>1216420.132</v>
      </c>
      <c r="G147" s="7">
        <v>151.101</v>
      </c>
      <c r="H147" s="11">
        <f xml:space="preserve"> 0.0000178751*Table1[[#This Row],[x]] + 8.7126697145</f>
        <v>10.7944971148967</v>
      </c>
      <c r="I147" s="11">
        <f xml:space="preserve"> 0.0000090591*Table1[[#This Row],[y]] + 48.9228858653</f>
        <v>59.942557483101204</v>
      </c>
      <c r="J147" s="7">
        <v>4.5999999999999996</v>
      </c>
      <c r="K147" s="7">
        <v>146.50099182128909</v>
      </c>
      <c r="L147" s="5" t="s">
        <v>205</v>
      </c>
    </row>
    <row r="148" spans="1:12" x14ac:dyDescent="0.25">
      <c r="A148" s="5">
        <v>3</v>
      </c>
      <c r="B148" s="5" t="s">
        <v>133</v>
      </c>
      <c r="C148" s="5" t="s">
        <v>110</v>
      </c>
      <c r="D148" s="6"/>
      <c r="E148" s="7">
        <v>116442.739</v>
      </c>
      <c r="F148" s="7">
        <v>1215996.3759999999</v>
      </c>
      <c r="G148" s="7">
        <v>140.21100000000001</v>
      </c>
      <c r="H148" s="11">
        <f xml:space="preserve"> 0.0000178751*Table1[[#This Row],[x]] + 8.7126697145</f>
        <v>10.794095318398901</v>
      </c>
      <c r="I148" s="11">
        <f xml:space="preserve"> 0.0000090591*Table1[[#This Row],[y]] + 48.9228858653</f>
        <v>59.938718635121603</v>
      </c>
      <c r="J148" s="7">
        <v>9</v>
      </c>
      <c r="K148" s="7">
        <v>131.21100000000001</v>
      </c>
      <c r="L148" s="5" t="s">
        <v>174</v>
      </c>
    </row>
    <row r="149" spans="1:12" x14ac:dyDescent="0.25">
      <c r="A149" s="5" t="s">
        <v>147</v>
      </c>
      <c r="B149" s="5" t="s">
        <v>133</v>
      </c>
      <c r="C149" s="5" t="s">
        <v>111</v>
      </c>
      <c r="D149" s="6">
        <v>22166</v>
      </c>
      <c r="E149" s="7">
        <v>116444.749</v>
      </c>
      <c r="F149" s="7">
        <v>1216937.4469999999</v>
      </c>
      <c r="G149" s="7">
        <v>150.61699999999999</v>
      </c>
      <c r="H149" s="11">
        <f xml:space="preserve"> 0.0000178751*Table1[[#This Row],[x]] + 8.7126697145</f>
        <v>10.794131247349901</v>
      </c>
      <c r="I149" s="11">
        <f xml:space="preserve"> 0.0000090591*Table1[[#This Row],[y]] + 48.9228858653</f>
        <v>59.947243891417699</v>
      </c>
      <c r="J149" s="7">
        <v>5.9</v>
      </c>
      <c r="K149" s="7">
        <v>144.7170104980469</v>
      </c>
      <c r="L149" s="5" t="s">
        <v>201</v>
      </c>
    </row>
    <row r="150" spans="1:12" x14ac:dyDescent="0.25">
      <c r="A150" s="5" t="s">
        <v>147</v>
      </c>
      <c r="B150" s="5" t="s">
        <v>133</v>
      </c>
      <c r="C150" s="5" t="s">
        <v>112</v>
      </c>
      <c r="D150" s="6"/>
      <c r="E150" s="7">
        <v>116359.973</v>
      </c>
      <c r="F150" s="7">
        <v>1216735.385</v>
      </c>
      <c r="G150" s="7">
        <v>150.30799999999999</v>
      </c>
      <c r="H150" s="11">
        <f xml:space="preserve"> 0.0000178751*Table1[[#This Row],[x]] + 8.7126697145</f>
        <v>10.7926158678723</v>
      </c>
      <c r="I150" s="11">
        <f xml:space="preserve"> 0.0000090591*Table1[[#This Row],[y]] + 48.9228858653</f>
        <v>59.945413391553501</v>
      </c>
      <c r="J150" s="7">
        <v>4</v>
      </c>
      <c r="K150" s="7">
        <v>146.30799999999999</v>
      </c>
      <c r="L150" s="5" t="s">
        <v>201</v>
      </c>
    </row>
    <row r="151" spans="1:12" x14ac:dyDescent="0.25">
      <c r="A151" s="5" t="s">
        <v>147</v>
      </c>
      <c r="B151" s="5" t="s">
        <v>133</v>
      </c>
      <c r="C151" s="5" t="s">
        <v>113</v>
      </c>
      <c r="D151" s="6">
        <v>22148</v>
      </c>
      <c r="E151" s="7">
        <v>116161.342</v>
      </c>
      <c r="F151" s="7">
        <v>1216213.9920000001</v>
      </c>
      <c r="G151" s="7">
        <v>125.90300000000001</v>
      </c>
      <c r="H151" s="11">
        <f xml:space="preserve"> 0.0000178751*Table1[[#This Row],[x]] + 8.7126697145</f>
        <v>10.789065318884202</v>
      </c>
      <c r="I151" s="11">
        <f xml:space="preserve"> 0.0000090591*Table1[[#This Row],[y]] + 48.9228858653</f>
        <v>59.940690040227203</v>
      </c>
      <c r="J151" s="7">
        <v>5.4</v>
      </c>
      <c r="K151" s="7">
        <v>120.5029983520508</v>
      </c>
      <c r="L151" s="5" t="s">
        <v>174</v>
      </c>
    </row>
    <row r="152" spans="1:12" x14ac:dyDescent="0.25">
      <c r="A152" s="5" t="s">
        <v>147</v>
      </c>
      <c r="B152" s="5" t="s">
        <v>133</v>
      </c>
      <c r="C152" s="5" t="s">
        <v>114</v>
      </c>
      <c r="D152" s="6">
        <v>22131</v>
      </c>
      <c r="E152" s="7">
        <v>116022.433</v>
      </c>
      <c r="F152" s="7">
        <v>1216580.561</v>
      </c>
      <c r="G152" s="7">
        <v>124.996</v>
      </c>
      <c r="H152" s="11">
        <f xml:space="preserve"> 0.0000178751*Table1[[#This Row],[x]] + 8.7126697145</f>
        <v>10.7865823066183</v>
      </c>
      <c r="I152" s="11">
        <f xml:space="preserve"> 0.0000090591*Table1[[#This Row],[y]] + 48.9228858653</f>
        <v>59.944010825455102</v>
      </c>
      <c r="J152" s="7">
        <v>13</v>
      </c>
      <c r="K152" s="7">
        <v>111.9960021972656</v>
      </c>
      <c r="L152" s="5" t="s">
        <v>204</v>
      </c>
    </row>
    <row r="153" spans="1:12" x14ac:dyDescent="0.25">
      <c r="A153" s="5" t="s">
        <v>147</v>
      </c>
      <c r="B153" s="5" t="s">
        <v>133</v>
      </c>
      <c r="C153" s="5" t="s">
        <v>115</v>
      </c>
      <c r="D153" s="6">
        <v>22149</v>
      </c>
      <c r="E153" s="7">
        <v>115843.32399999999</v>
      </c>
      <c r="F153" s="7">
        <v>1216077.9140000001</v>
      </c>
      <c r="G153" s="7">
        <v>104.893</v>
      </c>
      <c r="H153" s="11">
        <f xml:space="preserve"> 0.0000178751*Table1[[#This Row],[x]] + 8.7126697145</f>
        <v>10.783380715332401</v>
      </c>
      <c r="I153" s="11">
        <f xml:space="preserve"> 0.0000090591*Table1[[#This Row],[y]] + 48.9228858653</f>
        <v>59.939457296017402</v>
      </c>
      <c r="J153" s="7">
        <v>11</v>
      </c>
      <c r="K153" s="7">
        <v>93.892997741699219</v>
      </c>
      <c r="L153" s="5" t="s">
        <v>174</v>
      </c>
    </row>
    <row r="154" spans="1:12" x14ac:dyDescent="0.25">
      <c r="A154" s="5" t="s">
        <v>187</v>
      </c>
      <c r="B154" s="5" t="s">
        <v>133</v>
      </c>
      <c r="C154" s="5" t="s">
        <v>206</v>
      </c>
      <c r="D154" s="6"/>
      <c r="E154" s="7">
        <v>115612.561</v>
      </c>
      <c r="F154" s="7">
        <v>1216594.5919999999</v>
      </c>
      <c r="G154" s="7">
        <v>110.402</v>
      </c>
      <c r="H154" s="11">
        <f xml:space="preserve"> 0.0000178751*Table1[[#This Row],[x]] + 8.7126697145</f>
        <v>10.7792558036311</v>
      </c>
      <c r="I154" s="11">
        <f xml:space="preserve"> 0.0000090591*Table1[[#This Row],[y]] + 48.9228858653</f>
        <v>59.944137933687202</v>
      </c>
      <c r="J154" s="7">
        <v>20</v>
      </c>
      <c r="K154" s="7">
        <v>90.402000000000001</v>
      </c>
      <c r="L154" s="5" t="s">
        <v>207</v>
      </c>
    </row>
    <row r="155" spans="1:12" x14ac:dyDescent="0.25">
      <c r="A155" s="5" t="s">
        <v>187</v>
      </c>
      <c r="B155" s="5" t="s">
        <v>133</v>
      </c>
      <c r="C155" s="5" t="s">
        <v>208</v>
      </c>
      <c r="D155" s="6"/>
      <c r="E155" s="7">
        <v>115599.527</v>
      </c>
      <c r="F155" s="7">
        <v>1216461.507</v>
      </c>
      <c r="G155" s="7">
        <v>108.86499999999999</v>
      </c>
      <c r="H155" s="11">
        <f xml:space="preserve"> 0.0000178751*Table1[[#This Row],[x]] + 8.7126697145</f>
        <v>10.779022819577701</v>
      </c>
      <c r="I155" s="11">
        <f xml:space="preserve"> 0.0000090591*Table1[[#This Row],[y]] + 48.9228858653</f>
        <v>59.942932303363705</v>
      </c>
      <c r="J155" s="7">
        <v>18.399999999999999</v>
      </c>
      <c r="K155" s="7">
        <v>90.465000000000003</v>
      </c>
      <c r="L155" s="5" t="s">
        <v>174</v>
      </c>
    </row>
    <row r="156" spans="1:12" x14ac:dyDescent="0.25">
      <c r="A156" s="5">
        <v>5</v>
      </c>
      <c r="B156" s="5" t="s">
        <v>133</v>
      </c>
      <c r="C156" s="5" t="s">
        <v>116</v>
      </c>
      <c r="D156" s="6">
        <v>19021</v>
      </c>
      <c r="E156" s="7">
        <v>115158.266</v>
      </c>
      <c r="F156" s="7">
        <v>1216238.166</v>
      </c>
      <c r="G156" s="7">
        <v>89.242000000000004</v>
      </c>
      <c r="H156" s="11">
        <f xml:space="preserve"> 0.0000178751*Table1[[#This Row],[x]] + 8.7126697145</f>
        <v>10.771135235076601</v>
      </c>
      <c r="I156" s="11">
        <f xml:space="preserve"> 0.0000090591*Table1[[#This Row],[y]] + 48.9228858653</f>
        <v>59.940909034910604</v>
      </c>
      <c r="J156" s="7">
        <v>9.6999999999999993</v>
      </c>
      <c r="K156" s="7">
        <v>79.541999816894531</v>
      </c>
      <c r="L156" s="5" t="s">
        <v>174</v>
      </c>
    </row>
    <row r="157" spans="1:12" x14ac:dyDescent="0.25">
      <c r="A157" s="5">
        <v>5</v>
      </c>
      <c r="B157" s="5" t="s">
        <v>133</v>
      </c>
      <c r="C157" s="5" t="s">
        <v>117</v>
      </c>
      <c r="D157" s="6">
        <v>22130</v>
      </c>
      <c r="E157" s="7">
        <v>115158.266</v>
      </c>
      <c r="F157" s="7">
        <v>1216238.166</v>
      </c>
      <c r="G157" s="7">
        <v>89.242000000000004</v>
      </c>
      <c r="H157" s="11">
        <f xml:space="preserve"> 0.0000178751*Table1[[#This Row],[x]] + 8.7126697145</f>
        <v>10.771135235076601</v>
      </c>
      <c r="I157" s="11">
        <f xml:space="preserve"> 0.0000090591*Table1[[#This Row],[y]] + 48.9228858653</f>
        <v>59.940909034910604</v>
      </c>
      <c r="J157" s="7">
        <v>7.1</v>
      </c>
      <c r="K157" s="7">
        <v>82.141998291015625</v>
      </c>
      <c r="L157" s="5" t="s">
        <v>176</v>
      </c>
    </row>
    <row r="158" spans="1:12" x14ac:dyDescent="0.25">
      <c r="A158" s="5">
        <v>5</v>
      </c>
      <c r="B158" s="5" t="s">
        <v>133</v>
      </c>
      <c r="C158" s="5" t="s">
        <v>118</v>
      </c>
      <c r="D158" s="6">
        <v>22132</v>
      </c>
      <c r="E158" s="7">
        <v>115158.266</v>
      </c>
      <c r="F158" s="7">
        <v>1216238.166</v>
      </c>
      <c r="G158" s="7">
        <v>89.242000000000004</v>
      </c>
      <c r="H158" s="11">
        <f xml:space="preserve"> 0.0000178751*Table1[[#This Row],[x]] + 8.7126697145</f>
        <v>10.771135235076601</v>
      </c>
      <c r="I158" s="11">
        <f xml:space="preserve"> 0.0000090591*Table1[[#This Row],[y]] + 48.9228858653</f>
        <v>59.940909034910604</v>
      </c>
      <c r="J158" s="7">
        <v>4.5</v>
      </c>
      <c r="K158" s="7">
        <v>84.741996765136719</v>
      </c>
      <c r="L158" s="5" t="s">
        <v>137</v>
      </c>
    </row>
    <row r="159" spans="1:12" x14ac:dyDescent="0.25">
      <c r="A159" s="5">
        <v>5</v>
      </c>
      <c r="B159" s="5" t="s">
        <v>133</v>
      </c>
      <c r="C159" s="5" t="s">
        <v>119</v>
      </c>
      <c r="D159" s="6">
        <v>22192</v>
      </c>
      <c r="E159" s="7">
        <v>115151.837</v>
      </c>
      <c r="F159" s="7">
        <v>1216015.176</v>
      </c>
      <c r="G159" s="7">
        <v>85.605999999999995</v>
      </c>
      <c r="H159" s="11">
        <f xml:space="preserve"> 0.0000178751*Table1[[#This Row],[x]] + 8.7126697145</f>
        <v>10.771020316058701</v>
      </c>
      <c r="I159" s="11">
        <f xml:space="preserve"> 0.0000090591*Table1[[#This Row],[y]] + 48.9228858653</f>
        <v>59.938888946201601</v>
      </c>
      <c r="J159" s="7">
        <v>27.999999999999993</v>
      </c>
      <c r="K159" s="7">
        <v>57.606000000000002</v>
      </c>
      <c r="L159" s="5" t="s">
        <v>143</v>
      </c>
    </row>
    <row r="160" spans="1:12" x14ac:dyDescent="0.25">
      <c r="A160" s="5">
        <v>5</v>
      </c>
      <c r="B160" s="5" t="s">
        <v>133</v>
      </c>
      <c r="C160" s="5" t="s">
        <v>120</v>
      </c>
      <c r="D160" s="6">
        <v>22120</v>
      </c>
      <c r="E160" s="7">
        <v>114821.307</v>
      </c>
      <c r="F160" s="7">
        <v>1215809.5959999999</v>
      </c>
      <c r="G160" s="7">
        <v>77.644999999999996</v>
      </c>
      <c r="H160" s="11">
        <f xml:space="preserve"> 0.0000178751*Table1[[#This Row],[x]] + 8.7126697145</f>
        <v>10.765112059255701</v>
      </c>
      <c r="I160" s="11">
        <f xml:space="preserve"> 0.0000090591*Table1[[#This Row],[y]] + 48.9228858653</f>
        <v>59.937026576423605</v>
      </c>
      <c r="J160" s="7">
        <v>14.4</v>
      </c>
      <c r="K160" s="7">
        <v>63.2449951171875</v>
      </c>
      <c r="L160" s="5" t="s">
        <v>174</v>
      </c>
    </row>
    <row r="161" spans="1:12" x14ac:dyDescent="0.25">
      <c r="A161" s="5">
        <v>5</v>
      </c>
      <c r="B161" s="5" t="s">
        <v>133</v>
      </c>
      <c r="C161" s="5" t="s">
        <v>121</v>
      </c>
      <c r="D161" s="6">
        <v>22161</v>
      </c>
      <c r="E161" s="7">
        <v>114768.304</v>
      </c>
      <c r="F161" s="7">
        <v>1216106.922</v>
      </c>
      <c r="G161" s="7">
        <v>81.531999999999996</v>
      </c>
      <c r="H161" s="11">
        <f xml:space="preserve"> 0.0000178751*Table1[[#This Row],[x]] + 8.7126697145</f>
        <v>10.764164625330402</v>
      </c>
      <c r="I161" s="11">
        <f xml:space="preserve"> 0.0000090591*Table1[[#This Row],[y]] + 48.9228858653</f>
        <v>59.939720082390203</v>
      </c>
      <c r="J161" s="7">
        <v>26.4</v>
      </c>
      <c r="K161" s="7">
        <v>55.131996154785163</v>
      </c>
      <c r="L161" s="5" t="s">
        <v>204</v>
      </c>
    </row>
    <row r="162" spans="1:12" x14ac:dyDescent="0.25">
      <c r="A162" s="5">
        <v>5</v>
      </c>
      <c r="B162" s="5" t="s">
        <v>133</v>
      </c>
      <c r="C162" s="5" t="s">
        <v>122</v>
      </c>
      <c r="D162" s="6" t="s">
        <v>209</v>
      </c>
      <c r="E162" s="7">
        <v>114661.29</v>
      </c>
      <c r="F162" s="7">
        <v>1216238.3430000001</v>
      </c>
      <c r="G162" s="7">
        <v>86.442999999999998</v>
      </c>
      <c r="H162" s="11">
        <f xml:space="preserve"> 0.0000178751*Table1[[#This Row],[x]] + 8.7126697145</f>
        <v>10.762251739379</v>
      </c>
      <c r="I162" s="11">
        <f xml:space="preserve"> 0.0000090591*Table1[[#This Row],[y]] + 48.9228858653</f>
        <v>59.940910638371307</v>
      </c>
      <c r="J162" s="7">
        <v>25.8</v>
      </c>
      <c r="K162" s="7">
        <v>60.643000000000001</v>
      </c>
      <c r="L162" s="5"/>
    </row>
    <row r="163" spans="1:12" x14ac:dyDescent="0.25">
      <c r="A163" s="5">
        <v>5</v>
      </c>
      <c r="B163" s="5" t="s">
        <v>133</v>
      </c>
      <c r="C163" s="5" t="s">
        <v>123</v>
      </c>
      <c r="D163" s="6">
        <v>67321</v>
      </c>
      <c r="E163" s="7">
        <v>114661.001</v>
      </c>
      <c r="F163" s="7">
        <v>1216113.2609999999</v>
      </c>
      <c r="G163" s="7">
        <v>79.268000000000001</v>
      </c>
      <c r="H163" s="11">
        <f xml:space="preserve"> 0.0000178751*Table1[[#This Row],[x]] + 8.7126697145</f>
        <v>10.7622465734751</v>
      </c>
      <c r="I163" s="11">
        <f xml:space="preserve"> 0.0000090591*Table1[[#This Row],[y]] + 48.9228858653</f>
        <v>59.939777508025102</v>
      </c>
      <c r="J163" s="7">
        <v>33.6</v>
      </c>
      <c r="K163" s="7">
        <v>45.667999999999999</v>
      </c>
      <c r="L163" s="5" t="s">
        <v>193</v>
      </c>
    </row>
    <row r="164" spans="1:12" x14ac:dyDescent="0.25">
      <c r="A164" s="5">
        <v>5</v>
      </c>
      <c r="B164" s="5" t="s">
        <v>133</v>
      </c>
      <c r="C164" s="5" t="s">
        <v>124</v>
      </c>
      <c r="D164" s="6">
        <v>67221</v>
      </c>
      <c r="E164" s="7">
        <v>114661.001</v>
      </c>
      <c r="F164" s="7">
        <v>1216113.2609999999</v>
      </c>
      <c r="G164" s="7">
        <v>79.268000000000001</v>
      </c>
      <c r="H164" s="11">
        <f xml:space="preserve"> 0.0000178751*Table1[[#This Row],[x]] + 8.7126697145</f>
        <v>10.7622465734751</v>
      </c>
      <c r="I164" s="11">
        <f xml:space="preserve"> 0.0000090591*Table1[[#This Row],[y]] + 48.9228858653</f>
        <v>59.939777508025102</v>
      </c>
      <c r="J164" s="7">
        <v>25.1</v>
      </c>
      <c r="K164" s="7">
        <v>54.167999999999999</v>
      </c>
      <c r="L164" s="5" t="s">
        <v>185</v>
      </c>
    </row>
    <row r="165" spans="1:12" x14ac:dyDescent="0.25">
      <c r="A165" s="5">
        <v>5</v>
      </c>
      <c r="B165" s="5" t="s">
        <v>133</v>
      </c>
      <c r="C165" s="5" t="s">
        <v>125</v>
      </c>
      <c r="D165" s="6">
        <v>22145</v>
      </c>
      <c r="E165" s="7">
        <v>114661.001</v>
      </c>
      <c r="F165" s="7">
        <v>1216113.2609999999</v>
      </c>
      <c r="G165" s="7">
        <v>79.268000000000001</v>
      </c>
      <c r="H165" s="11">
        <f xml:space="preserve"> 0.0000178751*Table1[[#This Row],[x]] + 8.7126697145</f>
        <v>10.7622465734751</v>
      </c>
      <c r="I165" s="11">
        <f xml:space="preserve"> 0.0000090591*Table1[[#This Row],[y]] + 48.9228858653</f>
        <v>59.939777508025102</v>
      </c>
      <c r="J165" s="7">
        <v>15</v>
      </c>
      <c r="K165" s="7">
        <v>64.268000000000001</v>
      </c>
      <c r="L165" s="5" t="s">
        <v>176</v>
      </c>
    </row>
    <row r="166" spans="1:12" x14ac:dyDescent="0.25">
      <c r="A166" s="5">
        <v>5</v>
      </c>
      <c r="B166" s="5" t="s">
        <v>133</v>
      </c>
      <c r="C166" s="5" t="s">
        <v>126</v>
      </c>
      <c r="D166" s="6">
        <v>22165</v>
      </c>
      <c r="E166" s="7">
        <v>114661.001</v>
      </c>
      <c r="F166" s="7">
        <v>1216113.2609999999</v>
      </c>
      <c r="G166" s="7">
        <v>79.268000000000001</v>
      </c>
      <c r="H166" s="11">
        <f xml:space="preserve"> 0.0000178751*Table1[[#This Row],[x]] + 8.7126697145</f>
        <v>10.7622465734751</v>
      </c>
      <c r="I166" s="11">
        <f xml:space="preserve"> 0.0000090591*Table1[[#This Row],[y]] + 48.9228858653</f>
        <v>59.939777508025102</v>
      </c>
      <c r="J166" s="7">
        <v>5.0999999999999943</v>
      </c>
      <c r="K166" s="7">
        <v>74.168000000000006</v>
      </c>
      <c r="L166" s="5" t="s">
        <v>176</v>
      </c>
    </row>
    <row r="167" spans="1:12" x14ac:dyDescent="0.25">
      <c r="A167" s="5">
        <v>5</v>
      </c>
      <c r="B167" s="5" t="s">
        <v>133</v>
      </c>
      <c r="C167" s="5" t="s">
        <v>127</v>
      </c>
      <c r="D167" s="6">
        <v>22193</v>
      </c>
      <c r="E167" s="7">
        <v>114463.66899999999</v>
      </c>
      <c r="F167" s="7">
        <v>1216011.3189999999</v>
      </c>
      <c r="G167" s="7">
        <v>74.3</v>
      </c>
      <c r="H167" s="11">
        <f xml:space="preserve"> 0.0000178751*Table1[[#This Row],[x]] + 8.7126697145</f>
        <v>10.758719244241901</v>
      </c>
      <c r="I167" s="11">
        <f xml:space="preserve"> 0.0000090591*Table1[[#This Row],[y]] + 48.9228858653</f>
        <v>59.9388540052529</v>
      </c>
      <c r="J167" s="7">
        <v>24.2</v>
      </c>
      <c r="K167" s="7">
        <v>50.100002288818359</v>
      </c>
      <c r="L167" s="5" t="s">
        <v>143</v>
      </c>
    </row>
    <row r="168" spans="1:12" x14ac:dyDescent="0.25">
      <c r="A168" s="5">
        <v>5</v>
      </c>
      <c r="B168" s="5" t="s">
        <v>133</v>
      </c>
      <c r="C168" s="5" t="s">
        <v>128</v>
      </c>
      <c r="D168" s="6">
        <v>126821</v>
      </c>
      <c r="E168" s="7">
        <v>114444.038</v>
      </c>
      <c r="F168" s="7">
        <v>1216193.4750000001</v>
      </c>
      <c r="G168" s="7">
        <v>79.959000000000003</v>
      </c>
      <c r="H168" s="11">
        <f xml:space="preserve"> 0.0000178751*Table1[[#This Row],[x]] + 8.7126697145</f>
        <v>10.758368338153801</v>
      </c>
      <c r="I168" s="11">
        <f xml:space="preserve"> 0.0000090591*Table1[[#This Row],[y]] + 48.9228858653</f>
        <v>59.940504174672505</v>
      </c>
      <c r="J168" s="7">
        <v>13.2</v>
      </c>
      <c r="K168" s="7">
        <v>66.759002685546875</v>
      </c>
      <c r="L168" s="5" t="s">
        <v>178</v>
      </c>
    </row>
    <row r="169" spans="1:12" x14ac:dyDescent="0.25">
      <c r="A169" s="5">
        <v>5</v>
      </c>
      <c r="B169" s="5" t="s">
        <v>133</v>
      </c>
      <c r="C169" s="5" t="s">
        <v>129</v>
      </c>
      <c r="D169" s="6">
        <v>22164</v>
      </c>
      <c r="E169" s="7">
        <v>114082.054</v>
      </c>
      <c r="F169" s="7">
        <v>1215744.7390000001</v>
      </c>
      <c r="G169" s="7">
        <v>68.122</v>
      </c>
      <c r="H169" s="11">
        <f xml:space="preserve"> 0.0000178751*Table1[[#This Row],[x]] + 8.7126697145</f>
        <v>10.751897837955401</v>
      </c>
      <c r="I169" s="11">
        <f xml:space="preserve"> 0.0000090591*Table1[[#This Row],[y]] + 48.9228858653</f>
        <v>59.936439030374899</v>
      </c>
      <c r="J169" s="7">
        <v>9.6</v>
      </c>
      <c r="K169" s="7">
        <v>58.522003173828118</v>
      </c>
      <c r="L169" s="5" t="s">
        <v>210</v>
      </c>
    </row>
    <row r="170" spans="1:12" x14ac:dyDescent="0.25">
      <c r="A170" s="5">
        <v>5</v>
      </c>
      <c r="B170" s="5" t="s">
        <v>133</v>
      </c>
      <c r="C170" s="5" t="s">
        <v>130</v>
      </c>
      <c r="D170" s="6"/>
      <c r="E170" s="7">
        <v>114075.101</v>
      </c>
      <c r="F170" s="7">
        <v>1216107.182</v>
      </c>
      <c r="G170" s="7">
        <v>76.488</v>
      </c>
      <c r="H170" s="11">
        <f xml:space="preserve"> 0.0000178751*Table1[[#This Row],[x]] + 8.7126697145</f>
        <v>10.751773552385099</v>
      </c>
      <c r="I170" s="11">
        <f xml:space="preserve"> 0.0000090591*Table1[[#This Row],[y]] + 48.9228858653</f>
        <v>59.939722437756203</v>
      </c>
      <c r="J170" s="7">
        <v>13.899999999999999</v>
      </c>
      <c r="K170" s="7">
        <v>62.588000000000001</v>
      </c>
      <c r="L170" s="5" t="s">
        <v>143</v>
      </c>
    </row>
    <row r="171" spans="1:12" x14ac:dyDescent="0.25">
      <c r="A171" s="5">
        <v>5</v>
      </c>
      <c r="B171" s="5" t="s">
        <v>133</v>
      </c>
      <c r="C171" s="5" t="s">
        <v>211</v>
      </c>
      <c r="D171" s="6"/>
      <c r="E171" s="7">
        <v>113635.3</v>
      </c>
      <c r="F171" s="7">
        <v>1216169.3</v>
      </c>
      <c r="G171" s="7">
        <v>77.930000000000007</v>
      </c>
      <c r="H171" s="11">
        <f xml:space="preserve"> 0.0000178751*Table1[[#This Row],[x]] + 8.7126697145</f>
        <v>10.743912065530001</v>
      </c>
      <c r="I171" s="11">
        <f xml:space="preserve"> 0.0000090591*Table1[[#This Row],[y]] + 48.9228858653</f>
        <v>59.940285170930004</v>
      </c>
      <c r="J171" s="7">
        <v>18.100000000000001</v>
      </c>
      <c r="K171" s="7">
        <v>59.830000000000005</v>
      </c>
      <c r="L171" s="5" t="s">
        <v>178</v>
      </c>
    </row>
    <row r="172" spans="1:12" x14ac:dyDescent="0.25">
      <c r="A172" s="5">
        <v>5</v>
      </c>
      <c r="B172" s="5" t="s">
        <v>133</v>
      </c>
      <c r="C172" s="5" t="s">
        <v>212</v>
      </c>
      <c r="D172" s="6"/>
      <c r="E172" s="7">
        <v>113168.9</v>
      </c>
      <c r="F172" s="7">
        <v>1215913.2</v>
      </c>
      <c r="G172" s="7">
        <v>75.260000000000005</v>
      </c>
      <c r="H172" s="11">
        <f xml:space="preserve"> 0.0000178751*Table1[[#This Row],[x]] + 8.7126697145</f>
        <v>10.735575118890001</v>
      </c>
      <c r="I172" s="11">
        <f xml:space="preserve"> 0.0000090591*Table1[[#This Row],[y]] + 48.9228858653</f>
        <v>59.937965135420001</v>
      </c>
      <c r="J172" s="7">
        <v>6.4</v>
      </c>
      <c r="K172" s="7">
        <v>68.86</v>
      </c>
      <c r="L172" s="5" t="s">
        <v>178</v>
      </c>
    </row>
    <row r="173" spans="1:12" x14ac:dyDescent="0.25">
      <c r="A173" s="5">
        <v>6</v>
      </c>
      <c r="B173" s="5" t="s">
        <v>133</v>
      </c>
      <c r="C173" s="5" t="s">
        <v>213</v>
      </c>
      <c r="D173" s="6">
        <v>22168</v>
      </c>
      <c r="E173" s="7">
        <v>112817.954</v>
      </c>
      <c r="F173" s="7">
        <v>1215800.5460000001</v>
      </c>
      <c r="G173" s="7">
        <v>95.44</v>
      </c>
      <c r="H173" s="11">
        <f xml:space="preserve"> 0.0000178751*Table1[[#This Row],[x]] + 8.7126697145</f>
        <v>10.729301924045402</v>
      </c>
      <c r="I173" s="11">
        <f xml:space="preserve"> 0.0000090591*Table1[[#This Row],[y]] + 48.9228858653</f>
        <v>59.936944591568604</v>
      </c>
      <c r="J173" s="7">
        <v>4</v>
      </c>
      <c r="K173" s="7">
        <v>91.44000244140625</v>
      </c>
      <c r="L173" s="5" t="s">
        <v>143</v>
      </c>
    </row>
    <row r="174" spans="1:12" x14ac:dyDescent="0.25">
      <c r="A174" s="5">
        <v>6</v>
      </c>
      <c r="B174" s="5" t="s">
        <v>133</v>
      </c>
      <c r="C174" s="5" t="s">
        <v>214</v>
      </c>
      <c r="D174" s="6"/>
      <c r="E174" s="7">
        <v>112061.541</v>
      </c>
      <c r="F174" s="7">
        <v>1216148.861</v>
      </c>
      <c r="G174" s="7">
        <v>75.207999999999998</v>
      </c>
      <c r="H174" s="11">
        <f xml:space="preserve"> 0.0000178751*Table1[[#This Row],[x]] + 8.7126697145</f>
        <v>10.715780966029101</v>
      </c>
      <c r="I174" s="11">
        <f xml:space="preserve"> 0.0000090591*Table1[[#This Row],[y]] + 48.9228858653</f>
        <v>59.940100011985102</v>
      </c>
      <c r="J174" s="7">
        <v>3</v>
      </c>
      <c r="K174" s="7">
        <v>72.207999999999998</v>
      </c>
      <c r="L174" s="5" t="s">
        <v>215</v>
      </c>
    </row>
    <row r="175" spans="1:12" x14ac:dyDescent="0.25">
      <c r="A175" s="5">
        <v>7</v>
      </c>
      <c r="B175" s="5" t="s">
        <v>133</v>
      </c>
      <c r="C175" s="5" t="s">
        <v>216</v>
      </c>
      <c r="D175" s="6">
        <v>22142</v>
      </c>
      <c r="E175" s="7">
        <v>110996.929</v>
      </c>
      <c r="F175" s="7">
        <v>1215917.2930000001</v>
      </c>
      <c r="G175" s="7">
        <v>65.656999999999996</v>
      </c>
      <c r="H175" s="11">
        <f xml:space="preserve"> 0.0000178751*Table1[[#This Row],[x]] + 8.7126697145</f>
        <v>10.696750920067901</v>
      </c>
      <c r="I175" s="11">
        <f xml:space="preserve"> 0.0000090591*Table1[[#This Row],[y]] + 48.9228858653</f>
        <v>59.938002214316299</v>
      </c>
      <c r="J175" s="7">
        <v>6</v>
      </c>
      <c r="K175" s="7">
        <v>59.656997680664063</v>
      </c>
      <c r="L175" s="5" t="s">
        <v>174</v>
      </c>
    </row>
    <row r="176" spans="1:12" x14ac:dyDescent="0.25">
      <c r="A176" s="5">
        <v>7</v>
      </c>
      <c r="B176" s="5" t="s">
        <v>133</v>
      </c>
      <c r="C176" s="5" t="s">
        <v>217</v>
      </c>
      <c r="D176" s="6">
        <v>22219</v>
      </c>
      <c r="E176" s="7">
        <v>109894.2</v>
      </c>
      <c r="F176" s="7">
        <v>1216035.8</v>
      </c>
      <c r="G176" s="7">
        <v>79.83</v>
      </c>
      <c r="H176" s="11">
        <f xml:space="preserve"> 0.0000178751*Table1[[#This Row],[x]] + 8.7126697145</f>
        <v>10.67703952892</v>
      </c>
      <c r="I176" s="11">
        <f xml:space="preserve"> 0.0000090591*Table1[[#This Row],[y]] + 48.9228858653</f>
        <v>59.939075781080007</v>
      </c>
      <c r="J176" s="7">
        <v>8.6999999999999993</v>
      </c>
      <c r="K176" s="7"/>
      <c r="L176" s="5" t="s">
        <v>174</v>
      </c>
    </row>
    <row r="177" spans="1:12" x14ac:dyDescent="0.25">
      <c r="A177" s="5">
        <v>7</v>
      </c>
      <c r="B177" s="5" t="s">
        <v>133</v>
      </c>
      <c r="C177" s="5" t="s">
        <v>218</v>
      </c>
      <c r="D177" s="6">
        <v>22170</v>
      </c>
      <c r="E177" s="7">
        <v>109625.8</v>
      </c>
      <c r="F177" s="7">
        <v>1216469.017</v>
      </c>
      <c r="G177" s="7">
        <v>102.94499999999999</v>
      </c>
      <c r="H177" s="11">
        <f xml:space="preserve"> 0.0000178751*Table1[[#This Row],[x]] + 8.7126697145</f>
        <v>10.672241852080001</v>
      </c>
      <c r="I177" s="11">
        <f xml:space="preserve"> 0.0000090591*Table1[[#This Row],[y]] + 48.9228858653</f>
        <v>59.943000337204701</v>
      </c>
      <c r="J177" s="7">
        <v>4.9000000000000004</v>
      </c>
      <c r="K177" s="7"/>
      <c r="L177" s="5" t="s">
        <v>174</v>
      </c>
    </row>
    <row r="178" spans="1:12" x14ac:dyDescent="0.25">
      <c r="A178" s="5"/>
      <c r="B178" s="5" t="s">
        <v>133</v>
      </c>
      <c r="C178" s="5" t="s">
        <v>131</v>
      </c>
      <c r="D178" s="6"/>
      <c r="E178" s="7">
        <v>119227</v>
      </c>
      <c r="F178" s="7">
        <v>1214831.6000000001</v>
      </c>
      <c r="G178" s="7"/>
      <c r="H178" s="11">
        <f xml:space="preserve"> 0.0000178751*Table1[[#This Row],[x]] + 8.7126697145</f>
        <v>10.8438642622</v>
      </c>
      <c r="I178" s="11">
        <f xml:space="preserve"> 0.0000090591*Table1[[#This Row],[y]] + 48.9228858653</f>
        <v>59.928166812859999</v>
      </c>
      <c r="J178" s="7">
        <v>13.5</v>
      </c>
      <c r="K178" s="7">
        <v>72.099999999999994</v>
      </c>
      <c r="L178" s="5" t="s">
        <v>174</v>
      </c>
    </row>
    <row r="179" spans="1:12" x14ac:dyDescent="0.25">
      <c r="A179" s="5"/>
      <c r="B179" s="5" t="s">
        <v>133</v>
      </c>
      <c r="C179" s="5" t="s">
        <v>132</v>
      </c>
      <c r="D179" s="6"/>
      <c r="E179" s="7">
        <v>118607.8</v>
      </c>
      <c r="F179" s="7">
        <v>1215139.7</v>
      </c>
      <c r="G179" s="7"/>
      <c r="H179" s="11">
        <f xml:space="preserve"> 0.0000178751*Table1[[#This Row],[x]] + 8.7126697145</f>
        <v>10.83279600028</v>
      </c>
      <c r="I179" s="11">
        <f xml:space="preserve"> 0.0000090591*Table1[[#This Row],[y]] + 48.9228858653</f>
        <v>59.930957921569998</v>
      </c>
      <c r="J179" s="7">
        <v>10.8</v>
      </c>
      <c r="K179" s="7">
        <v>96.4</v>
      </c>
      <c r="L179" s="5"/>
    </row>
    <row r="180" spans="1:12" x14ac:dyDescent="0.25">
      <c r="A180" s="5">
        <v>7</v>
      </c>
      <c r="B180" s="5" t="s">
        <v>133</v>
      </c>
      <c r="C180" s="5" t="s">
        <v>219</v>
      </c>
      <c r="D180" s="6"/>
      <c r="E180" s="7">
        <v>110285.2</v>
      </c>
      <c r="F180" s="7">
        <v>1215865.1000000001</v>
      </c>
      <c r="G180" s="7">
        <v>66.7</v>
      </c>
      <c r="H180" s="11">
        <f xml:space="preserve"> 0.0000178751*Table1[[#This Row],[x]] + 8.7126697145</f>
        <v>10.68402869302</v>
      </c>
      <c r="I180" s="11">
        <f xml:space="preserve"> 0.0000090591*Table1[[#This Row],[y]] + 48.9228858653</f>
        <v>59.937529392710005</v>
      </c>
      <c r="J180" s="7">
        <v>8.3000000000000007</v>
      </c>
      <c r="K180" s="7">
        <v>58.400000000000006</v>
      </c>
      <c r="L180" s="5" t="s">
        <v>166</v>
      </c>
    </row>
    <row r="181" spans="1:12" x14ac:dyDescent="0.25">
      <c r="A181" s="5">
        <v>7</v>
      </c>
      <c r="B181" s="5" t="s">
        <v>133</v>
      </c>
      <c r="C181" s="5" t="s">
        <v>220</v>
      </c>
      <c r="D181" s="6"/>
      <c r="E181" s="7">
        <v>110455</v>
      </c>
      <c r="F181" s="7">
        <v>1216027.8</v>
      </c>
      <c r="G181" s="7">
        <v>67.7</v>
      </c>
      <c r="H181" s="11">
        <f xml:space="preserve"> 0.0000178751*Table1[[#This Row],[x]] + 8.7126697145</f>
        <v>10.687063885000001</v>
      </c>
      <c r="I181" s="11">
        <f xml:space="preserve"> 0.0000090591*Table1[[#This Row],[y]] + 48.9228858653</f>
        <v>59.93900330828</v>
      </c>
      <c r="J181" s="7">
        <v>9.1</v>
      </c>
      <c r="K181" s="7">
        <v>58.6</v>
      </c>
      <c r="L181" s="5" t="s">
        <v>166</v>
      </c>
    </row>
    <row r="182" spans="1:12" x14ac:dyDescent="0.25">
      <c r="A182" s="5">
        <v>7</v>
      </c>
      <c r="B182" s="5" t="s">
        <v>133</v>
      </c>
      <c r="C182" s="5" t="s">
        <v>221</v>
      </c>
      <c r="D182" s="6"/>
      <c r="E182" s="7">
        <v>110545.5</v>
      </c>
      <c r="F182" s="7">
        <v>1216087.5</v>
      </c>
      <c r="G182" s="7">
        <v>70.5</v>
      </c>
      <c r="H182" s="11">
        <f xml:space="preserve"> 0.0000178751*Table1[[#This Row],[x]] + 8.7126697145</f>
        <v>10.68868158155</v>
      </c>
      <c r="I182" s="11">
        <f xml:space="preserve"> 0.0000090591*Table1[[#This Row],[y]] + 48.9228858653</f>
        <v>59.939544136550005</v>
      </c>
      <c r="J182" s="7">
        <v>10.6</v>
      </c>
      <c r="K182" s="7">
        <v>59.9</v>
      </c>
      <c r="L182" s="5" t="s">
        <v>166</v>
      </c>
    </row>
    <row r="183" spans="1:12" x14ac:dyDescent="0.25">
      <c r="A183" s="5">
        <v>7</v>
      </c>
      <c r="B183" s="5" t="s">
        <v>133</v>
      </c>
      <c r="C183" s="5" t="s">
        <v>222</v>
      </c>
      <c r="D183" s="6"/>
      <c r="E183" s="7">
        <v>110545.5</v>
      </c>
      <c r="F183" s="7">
        <v>1216087.5</v>
      </c>
      <c r="G183" s="7">
        <v>70.5</v>
      </c>
      <c r="H183" s="11">
        <f xml:space="preserve"> 0.0000178751*Table1[[#This Row],[x]] + 8.7126697145</f>
        <v>10.68868158155</v>
      </c>
      <c r="I183" s="11">
        <f xml:space="preserve"> 0.0000090591*Table1[[#This Row],[y]] + 48.9228858653</f>
        <v>59.939544136550005</v>
      </c>
      <c r="J183" s="7">
        <v>5.5</v>
      </c>
      <c r="K183" s="7">
        <v>65</v>
      </c>
      <c r="L183" s="5" t="s">
        <v>166</v>
      </c>
    </row>
    <row r="184" spans="1:12" x14ac:dyDescent="0.25">
      <c r="A184" s="5">
        <v>7</v>
      </c>
      <c r="B184" s="5" t="s">
        <v>133</v>
      </c>
      <c r="C184" s="5" t="s">
        <v>223</v>
      </c>
      <c r="D184" s="6"/>
      <c r="E184" s="7">
        <v>111170.6</v>
      </c>
      <c r="F184" s="7">
        <v>1216215.1000000001</v>
      </c>
      <c r="G184" s="7">
        <v>87.76</v>
      </c>
      <c r="H184" s="11">
        <f xml:space="preserve"> 0.0000178751*Table1[[#This Row],[x]] + 8.7126697145</f>
        <v>10.69985530656</v>
      </c>
      <c r="I184" s="11">
        <f xml:space="preserve"> 0.0000090591*Table1[[#This Row],[y]] + 48.9228858653</f>
        <v>59.940700077710005</v>
      </c>
      <c r="J184" s="7">
        <v>8.6</v>
      </c>
      <c r="K184" s="7">
        <v>79.160000000000011</v>
      </c>
      <c r="L184" s="5" t="s">
        <v>166</v>
      </c>
    </row>
    <row r="185" spans="1:12" x14ac:dyDescent="0.25">
      <c r="A185" s="5">
        <v>7</v>
      </c>
      <c r="B185" s="5" t="s">
        <v>133</v>
      </c>
      <c r="C185" s="5" t="s">
        <v>224</v>
      </c>
      <c r="D185" s="6"/>
      <c r="E185" s="7">
        <v>111395</v>
      </c>
      <c r="F185" s="7">
        <v>1216112.5</v>
      </c>
      <c r="G185" s="7">
        <v>76.540000000000006</v>
      </c>
      <c r="H185" s="11">
        <f xml:space="preserve"> 0.0000178751*Table1[[#This Row],[x]] + 8.7126697145</f>
        <v>10.703866479</v>
      </c>
      <c r="I185" s="11">
        <f xml:space="preserve"> 0.0000090591*Table1[[#This Row],[y]] + 48.9228858653</f>
        <v>59.939770614050005</v>
      </c>
      <c r="J185" s="7">
        <v>2.1</v>
      </c>
      <c r="K185" s="7">
        <v>74.440000000000012</v>
      </c>
      <c r="L185" s="5" t="s">
        <v>166</v>
      </c>
    </row>
    <row r="186" spans="1:12" x14ac:dyDescent="0.25">
      <c r="A186" s="5">
        <v>7</v>
      </c>
      <c r="B186" s="5" t="s">
        <v>133</v>
      </c>
      <c r="C186" s="5" t="s">
        <v>225</v>
      </c>
      <c r="D186" s="6"/>
      <c r="E186" s="7">
        <v>111860</v>
      </c>
      <c r="F186" s="7">
        <v>1216148</v>
      </c>
      <c r="G186" s="7">
        <v>72.3</v>
      </c>
      <c r="H186" s="11">
        <f xml:space="preserve"> 0.0000178751*Table1[[#This Row],[x]] + 8.7126697145</f>
        <v>10.712178400500001</v>
      </c>
      <c r="I186" s="11">
        <f xml:space="preserve"> 0.0000090591*Table1[[#This Row],[y]] + 48.9228858653</f>
        <v>59.940092212100005</v>
      </c>
      <c r="J186" s="7">
        <v>17.350000000000001</v>
      </c>
      <c r="K186" s="7">
        <v>54.949999999999996</v>
      </c>
      <c r="L186" s="5" t="s">
        <v>166</v>
      </c>
    </row>
    <row r="187" spans="1:12" x14ac:dyDescent="0.25">
      <c r="A187" s="5">
        <v>7</v>
      </c>
      <c r="B187" s="5" t="s">
        <v>133</v>
      </c>
      <c r="C187" s="5" t="s">
        <v>226</v>
      </c>
      <c r="D187" s="6"/>
      <c r="E187" s="7">
        <v>111860</v>
      </c>
      <c r="F187" s="7">
        <v>1216148</v>
      </c>
      <c r="G187" s="7">
        <v>72.3</v>
      </c>
      <c r="H187" s="11">
        <f xml:space="preserve"> 0.0000178751*Table1[[#This Row],[x]] + 8.7126697145</f>
        <v>10.712178400500001</v>
      </c>
      <c r="I187" s="11">
        <f xml:space="preserve"> 0.0000090591*Table1[[#This Row],[y]] + 48.9228858653</f>
        <v>59.940092212100005</v>
      </c>
      <c r="J187" s="7">
        <v>10.3</v>
      </c>
      <c r="K187" s="7">
        <v>62</v>
      </c>
      <c r="L187" s="5" t="s">
        <v>166</v>
      </c>
    </row>
    <row r="188" spans="1:12" x14ac:dyDescent="0.25">
      <c r="A188" s="5">
        <v>7</v>
      </c>
      <c r="B188" s="5" t="s">
        <v>133</v>
      </c>
      <c r="C188" s="5" t="s">
        <v>227</v>
      </c>
      <c r="D188" s="6"/>
      <c r="E188" s="7">
        <v>111935.7</v>
      </c>
      <c r="F188" s="7">
        <v>1216229.5</v>
      </c>
      <c r="G188" s="7">
        <v>80.650000000000006</v>
      </c>
      <c r="H188" s="11">
        <f xml:space="preserve"> 0.0000178751*Table1[[#This Row],[x]] + 8.7126697145</f>
        <v>10.71353154557</v>
      </c>
      <c r="I188" s="11">
        <f xml:space="preserve"> 0.0000090591*Table1[[#This Row],[y]] + 48.9228858653</f>
        <v>59.940830528749999</v>
      </c>
      <c r="J188" s="7">
        <v>28.6</v>
      </c>
      <c r="K188" s="7">
        <v>52.050000000000004</v>
      </c>
      <c r="L188" s="5" t="s">
        <v>166</v>
      </c>
    </row>
    <row r="189" spans="1:12" x14ac:dyDescent="0.25">
      <c r="A189" s="5">
        <v>7</v>
      </c>
      <c r="B189" s="5" t="s">
        <v>133</v>
      </c>
      <c r="C189" s="5" t="s">
        <v>228</v>
      </c>
      <c r="D189" s="6"/>
      <c r="E189" s="7">
        <v>111935.7</v>
      </c>
      <c r="F189" s="7">
        <v>1216229.5</v>
      </c>
      <c r="G189" s="7">
        <v>80.650000000000006</v>
      </c>
      <c r="H189" s="11">
        <f xml:space="preserve"> 0.0000178751*Table1[[#This Row],[x]] + 8.7126697145</f>
        <v>10.71353154557</v>
      </c>
      <c r="I189" s="11">
        <f xml:space="preserve"> 0.0000090591*Table1[[#This Row],[y]] + 48.9228858653</f>
        <v>59.940830528749999</v>
      </c>
      <c r="J189" s="7">
        <v>11</v>
      </c>
      <c r="K189" s="7">
        <v>69.650000000000006</v>
      </c>
      <c r="L189" s="5" t="s">
        <v>166</v>
      </c>
    </row>
    <row r="190" spans="1:12" x14ac:dyDescent="0.25">
      <c r="A190" s="5">
        <v>6</v>
      </c>
      <c r="B190" s="5" t="s">
        <v>133</v>
      </c>
      <c r="C190" s="5" t="s">
        <v>229</v>
      </c>
      <c r="D190" s="6"/>
      <c r="E190" s="7">
        <v>112116</v>
      </c>
      <c r="F190" s="7">
        <v>1216241</v>
      </c>
      <c r="G190" s="7">
        <v>82.15</v>
      </c>
      <c r="H190" s="11">
        <f xml:space="preserve"> 0.0000178751*Table1[[#This Row],[x]] + 8.7126697145</f>
        <v>10.7167544261</v>
      </c>
      <c r="I190" s="11">
        <f xml:space="preserve"> 0.0000090591*Table1[[#This Row],[y]] + 48.9228858653</f>
        <v>59.9409347084</v>
      </c>
      <c r="J190" s="7">
        <v>14</v>
      </c>
      <c r="K190" s="7">
        <v>68.150000000000006</v>
      </c>
      <c r="L190" s="5" t="s">
        <v>166</v>
      </c>
    </row>
    <row r="191" spans="1:12" x14ac:dyDescent="0.25">
      <c r="A191" s="5">
        <v>6</v>
      </c>
      <c r="B191" s="5" t="s">
        <v>133</v>
      </c>
      <c r="C191" s="5" t="s">
        <v>230</v>
      </c>
      <c r="D191" s="6"/>
      <c r="E191" s="7">
        <v>112116</v>
      </c>
      <c r="F191" s="7">
        <v>1216241</v>
      </c>
      <c r="G191" s="7">
        <v>82.15</v>
      </c>
      <c r="H191" s="11">
        <f xml:space="preserve"> 0.0000178751*Table1[[#This Row],[x]] + 8.7126697145</f>
        <v>10.7167544261</v>
      </c>
      <c r="I191" s="11">
        <f xml:space="preserve"> 0.0000090591*Table1[[#This Row],[y]] + 48.9228858653</f>
        <v>59.9409347084</v>
      </c>
      <c r="J191" s="7">
        <v>5</v>
      </c>
      <c r="K191" s="7">
        <v>77.150000000000006</v>
      </c>
      <c r="L191" s="5" t="s">
        <v>166</v>
      </c>
    </row>
    <row r="192" spans="1:12" x14ac:dyDescent="0.25">
      <c r="A192" s="5">
        <v>6</v>
      </c>
      <c r="B192" s="5" t="s">
        <v>133</v>
      </c>
      <c r="C192" s="5" t="s">
        <v>231</v>
      </c>
      <c r="D192" s="6"/>
      <c r="E192" s="7">
        <v>112527.3</v>
      </c>
      <c r="F192" s="7">
        <v>1216137.3</v>
      </c>
      <c r="G192" s="7">
        <v>91.48</v>
      </c>
      <c r="H192" s="11">
        <f xml:space="preserve"> 0.0000178751*Table1[[#This Row],[x]] + 8.7126697145</f>
        <v>10.72410645473</v>
      </c>
      <c r="I192" s="11">
        <f xml:space="preserve"> 0.0000090591*Table1[[#This Row],[y]] + 48.9228858653</f>
        <v>59.939995279729999</v>
      </c>
      <c r="J192" s="7">
        <v>10.1</v>
      </c>
      <c r="K192" s="7">
        <v>81.38000000000001</v>
      </c>
      <c r="L192" s="5" t="s">
        <v>166</v>
      </c>
    </row>
    <row r="193" spans="1:12" x14ac:dyDescent="0.25">
      <c r="A193" s="5">
        <v>6</v>
      </c>
      <c r="B193" s="5" t="s">
        <v>133</v>
      </c>
      <c r="C193" s="5" t="s">
        <v>232</v>
      </c>
      <c r="D193" s="6"/>
      <c r="E193" s="7">
        <v>113051.2</v>
      </c>
      <c r="F193" s="7">
        <v>1216063.6000000001</v>
      </c>
      <c r="G193" s="7">
        <v>87.32</v>
      </c>
      <c r="H193" s="11">
        <f xml:space="preserve"> 0.0000178751*Table1[[#This Row],[x]] + 8.7126697145</f>
        <v>10.73347121962</v>
      </c>
      <c r="I193" s="11">
        <f xml:space="preserve"> 0.0000090591*Table1[[#This Row],[y]] + 48.9228858653</f>
        <v>59.939327624059999</v>
      </c>
      <c r="J193" s="7">
        <v>10.3</v>
      </c>
      <c r="K193" s="7">
        <v>77.02</v>
      </c>
      <c r="L193" s="5" t="s">
        <v>166</v>
      </c>
    </row>
    <row r="194" spans="1:12" x14ac:dyDescent="0.25">
      <c r="A194" s="5">
        <v>6</v>
      </c>
      <c r="B194" s="5" t="s">
        <v>133</v>
      </c>
      <c r="C194" s="5" t="s">
        <v>233</v>
      </c>
      <c r="D194" s="6"/>
      <c r="E194" s="7">
        <v>113051.2</v>
      </c>
      <c r="F194" s="7">
        <v>1216063.6000000001</v>
      </c>
      <c r="G194" s="7">
        <v>87.32</v>
      </c>
      <c r="H194" s="11">
        <f xml:space="preserve"> 0.0000178751*Table1[[#This Row],[x]] + 8.7126697145</f>
        <v>10.73347121962</v>
      </c>
      <c r="I194" s="11">
        <f xml:space="preserve"> 0.0000090591*Table1[[#This Row],[y]] + 48.9228858653</f>
        <v>59.939327624059999</v>
      </c>
      <c r="J194" s="7">
        <v>8.6999999999999993</v>
      </c>
      <c r="K194" s="7">
        <v>78.61999999999999</v>
      </c>
      <c r="L194" s="5" t="s">
        <v>166</v>
      </c>
    </row>
    <row r="195" spans="1:12" x14ac:dyDescent="0.25">
      <c r="A195" s="5">
        <v>5</v>
      </c>
      <c r="B195" s="5" t="s">
        <v>133</v>
      </c>
      <c r="C195" s="5" t="s">
        <v>234</v>
      </c>
      <c r="D195" s="6"/>
      <c r="E195" s="7">
        <v>113279.6</v>
      </c>
      <c r="F195" s="7">
        <v>1215963.8</v>
      </c>
      <c r="G195" s="7">
        <v>75.349999999999994</v>
      </c>
      <c r="H195" s="11">
        <f xml:space="preserve"> 0.0000178751*Table1[[#This Row],[x]] + 8.7126697145</f>
        <v>10.737553892460001</v>
      </c>
      <c r="I195" s="11">
        <f xml:space="preserve"> 0.0000090591*Table1[[#This Row],[y]] + 48.9228858653</f>
        <v>59.938423525880005</v>
      </c>
      <c r="J195" s="7">
        <v>18.3</v>
      </c>
      <c r="K195" s="7">
        <v>57.05</v>
      </c>
      <c r="L195" s="5" t="s">
        <v>166</v>
      </c>
    </row>
    <row r="196" spans="1:12" x14ac:dyDescent="0.25">
      <c r="A196" s="5">
        <v>5</v>
      </c>
      <c r="B196" s="5" t="s">
        <v>133</v>
      </c>
      <c r="C196" s="5" t="s">
        <v>235</v>
      </c>
      <c r="D196" s="6"/>
      <c r="E196" s="7">
        <v>113279.6</v>
      </c>
      <c r="F196" s="7">
        <v>1215963.8</v>
      </c>
      <c r="G196" s="7">
        <v>75.349999999999994</v>
      </c>
      <c r="H196" s="11">
        <f xml:space="preserve"> 0.0000178751*Table1[[#This Row],[x]] + 8.7126697145</f>
        <v>10.737553892460001</v>
      </c>
      <c r="I196" s="11">
        <f xml:space="preserve"> 0.0000090591*Table1[[#This Row],[y]] + 48.9228858653</f>
        <v>59.938423525880005</v>
      </c>
      <c r="J196" s="7">
        <v>9</v>
      </c>
      <c r="K196" s="7">
        <v>66.349999999999994</v>
      </c>
      <c r="L196" s="5" t="s">
        <v>166</v>
      </c>
    </row>
    <row r="197" spans="1:12" x14ac:dyDescent="0.25">
      <c r="A197" s="5">
        <v>5</v>
      </c>
      <c r="B197" s="5" t="s">
        <v>133</v>
      </c>
      <c r="C197" s="5" t="s">
        <v>236</v>
      </c>
      <c r="D197" s="6"/>
      <c r="E197" s="7">
        <v>113462.39999999999</v>
      </c>
      <c r="F197" s="7">
        <v>1215791.3999999999</v>
      </c>
      <c r="G197" s="7">
        <v>74.900000000000006</v>
      </c>
      <c r="H197" s="11">
        <f xml:space="preserve"> 0.0000178751*Table1[[#This Row],[x]] + 8.7126697145</f>
        <v>10.740821460740001</v>
      </c>
      <c r="I197" s="11">
        <f xml:space="preserve"> 0.0000090591*Table1[[#This Row],[y]] + 48.9228858653</f>
        <v>59.936861737040005</v>
      </c>
      <c r="J197" s="7">
        <v>15.1</v>
      </c>
      <c r="K197" s="7">
        <v>59.800000000000004</v>
      </c>
      <c r="L197" s="5" t="s">
        <v>166</v>
      </c>
    </row>
    <row r="198" spans="1:12" x14ac:dyDescent="0.25">
      <c r="A198" s="5">
        <v>5</v>
      </c>
      <c r="B198" s="5" t="s">
        <v>133</v>
      </c>
      <c r="C198" s="5" t="s">
        <v>237</v>
      </c>
      <c r="D198" s="6"/>
      <c r="E198" s="7">
        <v>113462.39999999999</v>
      </c>
      <c r="F198" s="7">
        <v>1215791.3999999999</v>
      </c>
      <c r="G198" s="7">
        <v>74.900000000000006</v>
      </c>
      <c r="H198" s="11">
        <f xml:space="preserve"> 0.0000178751*Table1[[#This Row],[x]] + 8.7126697145</f>
        <v>10.740821460740001</v>
      </c>
      <c r="I198" s="11">
        <f xml:space="preserve"> 0.0000090591*Table1[[#This Row],[y]] + 48.9228858653</f>
        <v>59.936861737040005</v>
      </c>
      <c r="J198" s="7">
        <v>10</v>
      </c>
      <c r="K198" s="7">
        <v>64.900000000000006</v>
      </c>
      <c r="L198" s="5" t="s">
        <v>166</v>
      </c>
    </row>
    <row r="199" spans="1:12" x14ac:dyDescent="0.25">
      <c r="A199" s="5">
        <v>5</v>
      </c>
      <c r="B199" s="5" t="s">
        <v>133</v>
      </c>
      <c r="C199" s="5" t="s">
        <v>238</v>
      </c>
      <c r="D199" s="6"/>
      <c r="E199" s="7">
        <v>113490.78579999899</v>
      </c>
      <c r="F199" s="7">
        <v>1215999.0189999901</v>
      </c>
      <c r="G199" s="7">
        <v>76.349999999999994</v>
      </c>
      <c r="H199" s="11">
        <f xml:space="preserve"> 0.0000178751*Table1[[#This Row],[x]] + 8.7126697145</f>
        <v>10.741328859753562</v>
      </c>
      <c r="I199" s="11">
        <f xml:space="preserve"> 0.0000090591*Table1[[#This Row],[y]] + 48.9228858653</f>
        <v>59.938742578322817</v>
      </c>
      <c r="J199" s="7">
        <v>27.9</v>
      </c>
      <c r="K199" s="7">
        <v>48.449999999999996</v>
      </c>
      <c r="L199" s="5" t="s">
        <v>166</v>
      </c>
    </row>
    <row r="200" spans="1:12" x14ac:dyDescent="0.25">
      <c r="A200" s="5">
        <v>5</v>
      </c>
      <c r="B200" s="5" t="s">
        <v>133</v>
      </c>
      <c r="C200" s="5" t="s">
        <v>239</v>
      </c>
      <c r="D200" s="6"/>
      <c r="E200" s="7">
        <v>113490.78579999899</v>
      </c>
      <c r="F200" s="7">
        <v>1215999.0189999901</v>
      </c>
      <c r="G200" s="7">
        <v>76.349999999999994</v>
      </c>
      <c r="H200" s="11">
        <f xml:space="preserve"> 0.0000178751*Table1[[#This Row],[x]] + 8.7126697145</f>
        <v>10.741328859753562</v>
      </c>
      <c r="I200" s="11">
        <f xml:space="preserve"> 0.0000090591*Table1[[#This Row],[y]] + 48.9228858653</f>
        <v>59.938742578322817</v>
      </c>
      <c r="J200" s="7">
        <v>14</v>
      </c>
      <c r="K200" s="7">
        <v>62.349999999999994</v>
      </c>
      <c r="L200" s="5" t="s">
        <v>166</v>
      </c>
    </row>
    <row r="201" spans="1:12" x14ac:dyDescent="0.25">
      <c r="A201" s="5">
        <v>5</v>
      </c>
      <c r="B201" s="5" t="s">
        <v>133</v>
      </c>
      <c r="C201" s="5" t="s">
        <v>240</v>
      </c>
      <c r="D201" s="6"/>
      <c r="E201" s="7">
        <v>113759.9</v>
      </c>
      <c r="F201" s="7">
        <v>1216071.3999999999</v>
      </c>
      <c r="G201" s="7">
        <v>76.94</v>
      </c>
      <c r="H201" s="11">
        <f xml:space="preserve"> 0.0000178751*Table1[[#This Row],[x]] + 8.7126697145</f>
        <v>10.746139302990001</v>
      </c>
      <c r="I201" s="11">
        <f xml:space="preserve"> 0.0000090591*Table1[[#This Row],[y]] + 48.9228858653</f>
        <v>59.939398285039999</v>
      </c>
      <c r="J201" s="7">
        <v>12.55</v>
      </c>
      <c r="K201" s="7">
        <v>64.39</v>
      </c>
      <c r="L201" s="5" t="s">
        <v>166</v>
      </c>
    </row>
    <row r="202" spans="1:12" x14ac:dyDescent="0.25">
      <c r="A202" s="5">
        <v>5</v>
      </c>
      <c r="B202" s="5" t="s">
        <v>133</v>
      </c>
      <c r="C202" s="5" t="s">
        <v>241</v>
      </c>
      <c r="D202" s="6"/>
      <c r="E202" s="7">
        <v>113759.9</v>
      </c>
      <c r="F202" s="7">
        <v>1216071.3999999999</v>
      </c>
      <c r="G202" s="7">
        <v>76.94</v>
      </c>
      <c r="H202" s="11">
        <f xml:space="preserve"> 0.0000178751*Table1[[#This Row],[x]] + 8.7126697145</f>
        <v>10.746139302990001</v>
      </c>
      <c r="I202" s="11">
        <f xml:space="preserve"> 0.0000090591*Table1[[#This Row],[y]] + 48.9228858653</f>
        <v>59.939398285039999</v>
      </c>
      <c r="J202" s="7">
        <v>8</v>
      </c>
      <c r="K202" s="7">
        <v>68.94</v>
      </c>
      <c r="L202" s="5" t="s">
        <v>166</v>
      </c>
    </row>
    <row r="203" spans="1:12" x14ac:dyDescent="0.25">
      <c r="A203" s="5">
        <v>5</v>
      </c>
      <c r="B203" s="5" t="s">
        <v>133</v>
      </c>
      <c r="C203" s="5" t="s">
        <v>242</v>
      </c>
      <c r="D203" s="6"/>
      <c r="E203" s="7">
        <v>113815.7</v>
      </c>
      <c r="F203" s="7">
        <v>1216247.1000000001</v>
      </c>
      <c r="G203" s="7">
        <v>78.7</v>
      </c>
      <c r="H203" s="11">
        <f xml:space="preserve"> 0.0000178751*Table1[[#This Row],[x]] + 8.7126697145</f>
        <v>10.747136733570001</v>
      </c>
      <c r="I203" s="11">
        <f xml:space="preserve"> 0.0000090591*Table1[[#This Row],[y]] + 48.9228858653</f>
        <v>59.940989968910003</v>
      </c>
      <c r="J203" s="7">
        <v>24.8</v>
      </c>
      <c r="K203" s="7">
        <v>53.900000000000006</v>
      </c>
      <c r="L203" s="5" t="s">
        <v>166</v>
      </c>
    </row>
    <row r="204" spans="1:12" x14ac:dyDescent="0.25">
      <c r="A204" s="5">
        <v>5</v>
      </c>
      <c r="B204" s="5" t="s">
        <v>133</v>
      </c>
      <c r="C204" s="5" t="s">
        <v>243</v>
      </c>
      <c r="D204" s="6"/>
      <c r="E204" s="7">
        <v>113815.7</v>
      </c>
      <c r="F204" s="7">
        <v>1216247.1000000001</v>
      </c>
      <c r="G204" s="7">
        <v>78.7</v>
      </c>
      <c r="H204" s="11">
        <f xml:space="preserve"> 0.0000178751*Table1[[#This Row],[x]] + 8.7126697145</f>
        <v>10.747136733570001</v>
      </c>
      <c r="I204" s="11">
        <f xml:space="preserve"> 0.0000090591*Table1[[#This Row],[y]] + 48.9228858653</f>
        <v>59.940989968910003</v>
      </c>
      <c r="J204" s="7">
        <v>18.3</v>
      </c>
      <c r="K204" s="7">
        <v>60.400000000000006</v>
      </c>
      <c r="L204" s="5" t="s">
        <v>166</v>
      </c>
    </row>
    <row r="205" spans="1:12" x14ac:dyDescent="0.25">
      <c r="A205" s="5">
        <v>5</v>
      </c>
      <c r="B205" s="5" t="s">
        <v>133</v>
      </c>
      <c r="C205" s="5" t="s">
        <v>244</v>
      </c>
      <c r="D205" s="6"/>
      <c r="E205" s="7">
        <v>113997.3605</v>
      </c>
      <c r="F205" s="7">
        <v>1216007.5825999901</v>
      </c>
      <c r="G205" s="7">
        <v>74.959999999999994</v>
      </c>
      <c r="H205" s="11">
        <f xml:space="preserve"> 0.0000178751*Table1[[#This Row],[x]] + 8.7126697145</f>
        <v>10.75038393317355</v>
      </c>
      <c r="I205" s="11">
        <f xml:space="preserve"> 0.0000090591*Table1[[#This Row],[y]] + 48.9228858653</f>
        <v>59.938820156831575</v>
      </c>
      <c r="J205" s="7">
        <v>20.6</v>
      </c>
      <c r="K205" s="7">
        <v>54.359999999999992</v>
      </c>
      <c r="L205" s="5" t="s">
        <v>166</v>
      </c>
    </row>
    <row r="206" spans="1:12" x14ac:dyDescent="0.25">
      <c r="A206" s="5">
        <v>5</v>
      </c>
      <c r="B206" s="5" t="s">
        <v>133</v>
      </c>
      <c r="C206" s="5" t="s">
        <v>245</v>
      </c>
      <c r="D206" s="6"/>
      <c r="E206" s="7">
        <v>113997.3605</v>
      </c>
      <c r="F206" s="7">
        <v>1216007.5825999901</v>
      </c>
      <c r="G206" s="7">
        <v>74.959999999999994</v>
      </c>
      <c r="H206" s="11">
        <f xml:space="preserve"> 0.0000178751*Table1[[#This Row],[x]] + 8.7126697145</f>
        <v>10.75038393317355</v>
      </c>
      <c r="I206" s="11">
        <f xml:space="preserve"> 0.0000090591*Table1[[#This Row],[y]] + 48.9228858653</f>
        <v>59.938820156831575</v>
      </c>
      <c r="J206" s="7">
        <v>10.5</v>
      </c>
      <c r="K206" s="7">
        <v>64.459999999999994</v>
      </c>
      <c r="L206" s="5" t="s">
        <v>166</v>
      </c>
    </row>
    <row r="207" spans="1:12" x14ac:dyDescent="0.25">
      <c r="A207" s="5">
        <v>5</v>
      </c>
      <c r="B207" s="5" t="s">
        <v>133</v>
      </c>
      <c r="C207" s="5" t="s">
        <v>246</v>
      </c>
      <c r="D207" s="6"/>
      <c r="E207" s="7">
        <v>114107</v>
      </c>
      <c r="F207" s="7">
        <v>1215907</v>
      </c>
      <c r="G207" s="7">
        <v>72.91</v>
      </c>
      <c r="H207" s="11">
        <f xml:space="preserve"> 0.0000178751*Table1[[#This Row],[x]] + 8.7126697145</f>
        <v>10.752343750200001</v>
      </c>
      <c r="I207" s="11">
        <f xml:space="preserve"> 0.0000090591*Table1[[#This Row],[y]] + 48.9228858653</f>
        <v>59.937908969000006</v>
      </c>
      <c r="J207" s="7">
        <v>7.3</v>
      </c>
      <c r="K207" s="7">
        <v>65.61</v>
      </c>
      <c r="L207" s="5" t="s">
        <v>166</v>
      </c>
    </row>
    <row r="208" spans="1:12" x14ac:dyDescent="0.25">
      <c r="A208" s="5">
        <v>5</v>
      </c>
      <c r="B208" s="5" t="s">
        <v>133</v>
      </c>
      <c r="C208" s="5" t="s">
        <v>247</v>
      </c>
      <c r="D208" s="6"/>
      <c r="E208" s="7">
        <v>114127.6</v>
      </c>
      <c r="F208" s="7">
        <v>1215615.6000000001</v>
      </c>
      <c r="G208" s="7">
        <v>63.86</v>
      </c>
      <c r="H208" s="11">
        <f xml:space="preserve"> 0.0000178751*Table1[[#This Row],[x]] + 8.7126697145</f>
        <v>10.752711977260001</v>
      </c>
      <c r="I208" s="11">
        <f xml:space="preserve"> 0.0000090591*Table1[[#This Row],[y]] + 48.9228858653</f>
        <v>59.935269147260001</v>
      </c>
      <c r="J208" s="7">
        <v>20.9</v>
      </c>
      <c r="K208" s="7">
        <v>42.96</v>
      </c>
      <c r="L208" s="5" t="s">
        <v>166</v>
      </c>
    </row>
    <row r="209" spans="1:12" x14ac:dyDescent="0.25">
      <c r="A209" s="5">
        <v>5</v>
      </c>
      <c r="B209" s="5" t="s">
        <v>133</v>
      </c>
      <c r="C209" s="5" t="s">
        <v>248</v>
      </c>
      <c r="D209" s="6"/>
      <c r="E209" s="7">
        <v>114127.6</v>
      </c>
      <c r="F209" s="7">
        <v>1215615.6000000001</v>
      </c>
      <c r="G209" s="7">
        <v>63.86</v>
      </c>
      <c r="H209" s="11">
        <f xml:space="preserve"> 0.0000178751*Table1[[#This Row],[x]] + 8.7126697145</f>
        <v>10.752711977260001</v>
      </c>
      <c r="I209" s="11">
        <f xml:space="preserve"> 0.0000090591*Table1[[#This Row],[y]] + 48.9228858653</f>
        <v>59.935269147260001</v>
      </c>
      <c r="J209" s="7">
        <v>10.5</v>
      </c>
      <c r="K209" s="7">
        <v>53.36</v>
      </c>
      <c r="L209" s="5" t="s">
        <v>166</v>
      </c>
    </row>
    <row r="210" spans="1:12" x14ac:dyDescent="0.25">
      <c r="A210" s="5">
        <v>5</v>
      </c>
      <c r="B210" s="5" t="s">
        <v>133</v>
      </c>
      <c r="C210" s="5" t="s">
        <v>249</v>
      </c>
      <c r="D210" s="6"/>
      <c r="E210" s="7">
        <v>114199</v>
      </c>
      <c r="F210" s="7">
        <v>1215781</v>
      </c>
      <c r="G210" s="7">
        <v>69.87</v>
      </c>
      <c r="H210" s="11">
        <f xml:space="preserve"> 0.0000178751*Table1[[#This Row],[x]] + 8.7126697145</f>
        <v>10.7539882594</v>
      </c>
      <c r="I210" s="11">
        <f xml:space="preserve"> 0.0000090591*Table1[[#This Row],[y]] + 48.9228858653</f>
        <v>59.936767522400004</v>
      </c>
      <c r="J210" s="7">
        <v>8.3000000000000007</v>
      </c>
      <c r="K210" s="7">
        <v>61.570000000000007</v>
      </c>
      <c r="L210" s="5" t="s">
        <v>166</v>
      </c>
    </row>
    <row r="211" spans="1:12" x14ac:dyDescent="0.25">
      <c r="A211" s="5">
        <v>5</v>
      </c>
      <c r="B211" s="5" t="s">
        <v>133</v>
      </c>
      <c r="C211" s="5" t="s">
        <v>250</v>
      </c>
      <c r="D211" s="6"/>
      <c r="E211" s="7">
        <v>114321.2</v>
      </c>
      <c r="F211" s="7">
        <v>1215369.1000000001</v>
      </c>
      <c r="G211" s="7">
        <v>54.16</v>
      </c>
      <c r="H211" s="11">
        <f xml:space="preserve"> 0.0000178751*Table1[[#This Row],[x]] + 8.7126697145</f>
        <v>10.756172596620001</v>
      </c>
      <c r="I211" s="11">
        <f xml:space="preserve"> 0.0000090591*Table1[[#This Row],[y]] + 48.9228858653</f>
        <v>59.933036079110003</v>
      </c>
      <c r="J211" s="7">
        <v>26.7</v>
      </c>
      <c r="K211" s="7">
        <v>27.459999999999997</v>
      </c>
      <c r="L211" s="5" t="s">
        <v>166</v>
      </c>
    </row>
    <row r="212" spans="1:12" x14ac:dyDescent="0.25">
      <c r="A212" s="5">
        <v>5</v>
      </c>
      <c r="B212" s="5" t="s">
        <v>133</v>
      </c>
      <c r="C212" s="5" t="s">
        <v>251</v>
      </c>
      <c r="D212" s="6"/>
      <c r="E212" s="7">
        <v>114321.2</v>
      </c>
      <c r="F212" s="7">
        <v>1215369.1000000001</v>
      </c>
      <c r="G212" s="7">
        <v>54.16</v>
      </c>
      <c r="H212" s="11">
        <f xml:space="preserve"> 0.0000178751*Table1[[#This Row],[x]] + 8.7126697145</f>
        <v>10.756172596620001</v>
      </c>
      <c r="I212" s="11">
        <f xml:space="preserve"> 0.0000090591*Table1[[#This Row],[y]] + 48.9228858653</f>
        <v>59.933036079110003</v>
      </c>
      <c r="J212" s="7">
        <v>17.5</v>
      </c>
      <c r="K212" s="7">
        <v>36.659999999999997</v>
      </c>
      <c r="L212" s="5" t="s">
        <v>166</v>
      </c>
    </row>
    <row r="213" spans="1:12" x14ac:dyDescent="0.25">
      <c r="A213" s="5">
        <v>5</v>
      </c>
      <c r="B213" s="5" t="s">
        <v>133</v>
      </c>
      <c r="C213" s="5" t="s">
        <v>252</v>
      </c>
      <c r="D213" s="6"/>
      <c r="E213" s="7">
        <v>114380</v>
      </c>
      <c r="F213" s="7">
        <v>1215830</v>
      </c>
      <c r="G213" s="7">
        <v>70.67</v>
      </c>
      <c r="H213" s="11">
        <f xml:space="preserve"> 0.0000178751*Table1[[#This Row],[x]] + 8.7126697145</f>
        <v>10.7572236525</v>
      </c>
      <c r="I213" s="11">
        <f xml:space="preserve"> 0.0000090591*Table1[[#This Row],[y]] + 48.9228858653</f>
        <v>59.937211418300002</v>
      </c>
      <c r="J213" s="7">
        <v>27.3</v>
      </c>
      <c r="K213" s="7">
        <v>43.370000000000005</v>
      </c>
      <c r="L213" s="5" t="s">
        <v>166</v>
      </c>
    </row>
    <row r="214" spans="1:12" x14ac:dyDescent="0.25">
      <c r="A214" s="5">
        <v>5</v>
      </c>
      <c r="B214" s="5" t="s">
        <v>133</v>
      </c>
      <c r="C214" s="5" t="s">
        <v>253</v>
      </c>
      <c r="D214" s="6"/>
      <c r="E214" s="7">
        <v>114380</v>
      </c>
      <c r="F214" s="7">
        <v>1215830</v>
      </c>
      <c r="G214" s="7">
        <v>70.67</v>
      </c>
      <c r="H214" s="11">
        <f xml:space="preserve"> 0.0000178751*Table1[[#This Row],[x]] + 8.7126697145</f>
        <v>10.7572236525</v>
      </c>
      <c r="I214" s="11">
        <f xml:space="preserve"> 0.0000090591*Table1[[#This Row],[y]] + 48.9228858653</f>
        <v>59.937211418300002</v>
      </c>
      <c r="J214" s="7">
        <v>19</v>
      </c>
      <c r="K214" s="7">
        <v>51.67</v>
      </c>
      <c r="L214" s="5" t="s">
        <v>166</v>
      </c>
    </row>
    <row r="215" spans="1:12" x14ac:dyDescent="0.25">
      <c r="A215" s="5">
        <v>5</v>
      </c>
      <c r="B215" s="5" t="s">
        <v>133</v>
      </c>
      <c r="C215" s="5" t="s">
        <v>254</v>
      </c>
      <c r="D215" s="6"/>
      <c r="E215" s="7">
        <v>114496.2</v>
      </c>
      <c r="F215" s="7">
        <v>1215245.3</v>
      </c>
      <c r="G215" s="7">
        <v>55.53</v>
      </c>
      <c r="H215" s="11">
        <f xml:space="preserve"> 0.0000178751*Table1[[#This Row],[x]] + 8.7126697145</f>
        <v>10.75930073912</v>
      </c>
      <c r="I215" s="11">
        <f xml:space="preserve"> 0.0000090591*Table1[[#This Row],[y]] + 48.9228858653</f>
        <v>59.931914562530004</v>
      </c>
      <c r="J215" s="7">
        <v>27</v>
      </c>
      <c r="K215" s="7">
        <v>28.53</v>
      </c>
      <c r="L215" s="5" t="s">
        <v>166</v>
      </c>
    </row>
    <row r="216" spans="1:12" x14ac:dyDescent="0.25">
      <c r="A216" s="5">
        <v>5</v>
      </c>
      <c r="B216" s="5" t="s">
        <v>133</v>
      </c>
      <c r="C216" s="5" t="s">
        <v>255</v>
      </c>
      <c r="D216" s="6"/>
      <c r="E216" s="7">
        <v>114496.2</v>
      </c>
      <c r="F216" s="7">
        <v>1215245.3</v>
      </c>
      <c r="G216" s="7">
        <v>55.53</v>
      </c>
      <c r="H216" s="11">
        <f xml:space="preserve"> 0.0000178751*Table1[[#This Row],[x]] + 8.7126697145</f>
        <v>10.75930073912</v>
      </c>
      <c r="I216" s="11">
        <f xml:space="preserve"> 0.0000090591*Table1[[#This Row],[y]] + 48.9228858653</f>
        <v>59.931914562530004</v>
      </c>
      <c r="J216" s="7">
        <v>20.5</v>
      </c>
      <c r="K216" s="7">
        <v>35.03</v>
      </c>
      <c r="L216" s="5" t="s">
        <v>166</v>
      </c>
    </row>
    <row r="217" spans="1:12" x14ac:dyDescent="0.25">
      <c r="A217" s="5">
        <v>5</v>
      </c>
      <c r="B217" s="5" t="s">
        <v>133</v>
      </c>
      <c r="C217" s="5" t="s">
        <v>256</v>
      </c>
      <c r="D217" s="6"/>
      <c r="E217" s="7">
        <v>114295</v>
      </c>
      <c r="F217" s="7">
        <v>1215470</v>
      </c>
      <c r="G217" s="7">
        <v>55.02</v>
      </c>
      <c r="H217" s="11">
        <f xml:space="preserve"> 0.0000178751*Table1[[#This Row],[x]] + 8.7126697145</f>
        <v>10.755704269000001</v>
      </c>
      <c r="I217" s="11">
        <f xml:space="preserve"> 0.0000090591*Table1[[#This Row],[y]] + 48.9228858653</f>
        <v>59.933950142300006</v>
      </c>
      <c r="J217" s="7">
        <v>19.2</v>
      </c>
      <c r="K217" s="7">
        <v>35.820000000000007</v>
      </c>
      <c r="L217" s="5" t="s">
        <v>166</v>
      </c>
    </row>
    <row r="218" spans="1:12" x14ac:dyDescent="0.25">
      <c r="A218" s="5">
        <v>5</v>
      </c>
      <c r="B218" s="5" t="s">
        <v>133</v>
      </c>
      <c r="C218" s="5" t="s">
        <v>257</v>
      </c>
      <c r="D218" s="6"/>
      <c r="E218" s="7">
        <v>114295</v>
      </c>
      <c r="F218" s="7">
        <v>1215470</v>
      </c>
      <c r="G218" s="7">
        <v>55.02</v>
      </c>
      <c r="H218" s="11">
        <f xml:space="preserve"> 0.0000178751*Table1[[#This Row],[x]] + 8.7126697145</f>
        <v>10.755704269000001</v>
      </c>
      <c r="I218" s="11">
        <f xml:space="preserve"> 0.0000090591*Table1[[#This Row],[y]] + 48.9228858653</f>
        <v>59.933950142300006</v>
      </c>
      <c r="J218" s="7">
        <v>15.5</v>
      </c>
      <c r="K218" s="7">
        <v>39.520000000000003</v>
      </c>
      <c r="L218" s="5" t="s">
        <v>166</v>
      </c>
    </row>
    <row r="219" spans="1:12" x14ac:dyDescent="0.25">
      <c r="A219" s="5">
        <v>7</v>
      </c>
      <c r="B219" s="5" t="s">
        <v>133</v>
      </c>
      <c r="C219" s="5" t="s">
        <v>258</v>
      </c>
      <c r="D219" s="6"/>
      <c r="E219" s="7">
        <v>109689.60000000001</v>
      </c>
      <c r="F219" s="7">
        <v>1216176.6000000001</v>
      </c>
      <c r="G219" s="7">
        <v>88.14</v>
      </c>
      <c r="H219" s="11">
        <f xml:space="preserve"> 0.0000178751*Table1[[#This Row],[x]] + 8.7126697145</f>
        <v>10.673382283460001</v>
      </c>
      <c r="I219" s="11">
        <f xml:space="preserve"> 0.0000090591*Table1[[#This Row],[y]] + 48.9228858653</f>
        <v>59.94035130236</v>
      </c>
      <c r="J219" s="7">
        <v>4.2</v>
      </c>
      <c r="K219" s="7">
        <v>83.94</v>
      </c>
      <c r="L219" s="5" t="s">
        <v>166</v>
      </c>
    </row>
    <row r="220" spans="1:12" x14ac:dyDescent="0.25">
      <c r="A220" s="5">
        <v>7</v>
      </c>
      <c r="B220" s="5" t="s">
        <v>133</v>
      </c>
      <c r="C220" s="5" t="s">
        <v>259</v>
      </c>
      <c r="D220" s="6"/>
      <c r="E220" s="7">
        <v>111074.8</v>
      </c>
      <c r="F220" s="7">
        <v>1216128.3999999999</v>
      </c>
      <c r="G220" s="7">
        <v>81.11</v>
      </c>
      <c r="H220" s="11">
        <f xml:space="preserve"> 0.0000178751*Table1[[#This Row],[x]] + 8.7126697145</f>
        <v>10.69814287198</v>
      </c>
      <c r="I220" s="11">
        <f xml:space="preserve"> 0.0000090591*Table1[[#This Row],[y]] + 48.9228858653</f>
        <v>59.939914653740004</v>
      </c>
      <c r="J220" s="7">
        <v>8.6999999999999993</v>
      </c>
      <c r="K220" s="7">
        <v>72.41</v>
      </c>
      <c r="L220" s="5" t="s">
        <v>166</v>
      </c>
    </row>
    <row r="221" spans="1:12" x14ac:dyDescent="0.25">
      <c r="A221" s="5">
        <v>7</v>
      </c>
      <c r="B221" s="5" t="s">
        <v>133</v>
      </c>
      <c r="C221" s="5" t="s">
        <v>260</v>
      </c>
      <c r="D221" s="6"/>
      <c r="E221" s="7">
        <v>109631.6</v>
      </c>
      <c r="F221" s="7">
        <v>1216134</v>
      </c>
      <c r="G221" s="7">
        <v>94.6</v>
      </c>
      <c r="H221" s="11">
        <f xml:space="preserve"> 0.0000178751*Table1[[#This Row],[x]] + 8.7126697145</f>
        <v>10.672345527660001</v>
      </c>
      <c r="I221" s="11">
        <f xml:space="preserve"> 0.0000090591*Table1[[#This Row],[y]] + 48.9228858653</f>
        <v>59.939965384700002</v>
      </c>
      <c r="J221" s="7">
        <v>2.6</v>
      </c>
      <c r="K221" s="7">
        <v>92</v>
      </c>
      <c r="L221" s="5" t="s">
        <v>166</v>
      </c>
    </row>
    <row r="222" spans="1:12" x14ac:dyDescent="0.25">
      <c r="A222" s="5">
        <v>2</v>
      </c>
      <c r="B222" s="5" t="s">
        <v>133</v>
      </c>
      <c r="C222" s="5" t="s">
        <v>261</v>
      </c>
      <c r="D222" s="6">
        <v>10202</v>
      </c>
      <c r="E222" s="7">
        <v>119567.48</v>
      </c>
      <c r="F222" s="7">
        <v>1214682.78</v>
      </c>
      <c r="G222" s="7">
        <v>94.94</v>
      </c>
      <c r="H222" s="11">
        <f xml:space="preserve"> 0.0000178751*Table1[[#This Row],[x]] + 8.7126697145</f>
        <v>10.849950376248</v>
      </c>
      <c r="I222" s="11">
        <f xml:space="preserve"> 0.0000090591*Table1[[#This Row],[y]] + 48.9228858653</f>
        <v>59.926818637598004</v>
      </c>
      <c r="J222" s="7">
        <v>6</v>
      </c>
      <c r="K222" s="7">
        <v>88.94000244140625</v>
      </c>
      <c r="L222" s="5" t="s">
        <v>150</v>
      </c>
    </row>
    <row r="223" spans="1:12" x14ac:dyDescent="0.25">
      <c r="A223" s="5">
        <v>2</v>
      </c>
      <c r="B223" s="5" t="s">
        <v>133</v>
      </c>
      <c r="C223" s="5" t="s">
        <v>262</v>
      </c>
      <c r="D223" s="6">
        <v>10215</v>
      </c>
      <c r="E223" s="7">
        <v>119567.48</v>
      </c>
      <c r="F223" s="7">
        <v>1214682.78</v>
      </c>
      <c r="G223" s="7">
        <v>94.94</v>
      </c>
      <c r="H223" s="11">
        <f xml:space="preserve"> 0.0000178751*Table1[[#This Row],[x]] + 8.7126697145</f>
        <v>10.849950376248</v>
      </c>
      <c r="I223" s="11">
        <f xml:space="preserve"> 0.0000090591*Table1[[#This Row],[y]] + 48.9228858653</f>
        <v>59.926818637598004</v>
      </c>
      <c r="J223" s="7">
        <v>21</v>
      </c>
      <c r="K223" s="7">
        <v>73.94000244140625</v>
      </c>
      <c r="L223" s="5" t="s">
        <v>150</v>
      </c>
    </row>
    <row r="224" spans="1:12" x14ac:dyDescent="0.25">
      <c r="A224" s="5">
        <v>2</v>
      </c>
      <c r="B224" s="5" t="s">
        <v>133</v>
      </c>
      <c r="C224" s="5" t="s">
        <v>263</v>
      </c>
      <c r="D224" s="6">
        <v>10214</v>
      </c>
      <c r="E224" s="7">
        <v>119567.48</v>
      </c>
      <c r="F224" s="7">
        <v>1214682.78</v>
      </c>
      <c r="G224" s="7">
        <v>94.94</v>
      </c>
      <c r="H224" s="11">
        <f xml:space="preserve"> 0.0000178751*Table1[[#This Row],[x]] + 8.7126697145</f>
        <v>10.849950376248</v>
      </c>
      <c r="I224" s="11">
        <f xml:space="preserve"> 0.0000090591*Table1[[#This Row],[y]] + 48.9228858653</f>
        <v>59.926818637598004</v>
      </c>
      <c r="J224" s="7">
        <v>38</v>
      </c>
      <c r="K224" s="7">
        <v>56.94000244140625</v>
      </c>
      <c r="L224" s="5" t="s">
        <v>150</v>
      </c>
    </row>
    <row r="225" spans="1:12" x14ac:dyDescent="0.25">
      <c r="A225" s="5">
        <v>2</v>
      </c>
      <c r="B225" s="5" t="s">
        <v>133</v>
      </c>
      <c r="C225" s="5" t="s">
        <v>264</v>
      </c>
      <c r="D225" s="6">
        <v>10213</v>
      </c>
      <c r="E225" s="7">
        <v>119567.48</v>
      </c>
      <c r="F225" s="7">
        <v>1214682.78</v>
      </c>
      <c r="G225" s="7">
        <v>94.94</v>
      </c>
      <c r="H225" s="11">
        <f xml:space="preserve"> 0.0000178751*Table1[[#This Row],[x]] + 8.7126697145</f>
        <v>10.849950376248</v>
      </c>
      <c r="I225" s="11">
        <f xml:space="preserve"> 0.0000090591*Table1[[#This Row],[y]] + 48.9228858653</f>
        <v>59.926818637598004</v>
      </c>
      <c r="J225" s="7">
        <v>44</v>
      </c>
      <c r="K225" s="7">
        <v>50.94000244140625</v>
      </c>
      <c r="L225" s="5" t="s">
        <v>150</v>
      </c>
    </row>
    <row r="226" spans="1:12" x14ac:dyDescent="0.25">
      <c r="A226" s="5">
        <v>2</v>
      </c>
      <c r="B226" s="5" t="s">
        <v>133</v>
      </c>
      <c r="C226" s="5" t="s">
        <v>265</v>
      </c>
      <c r="D226" s="6">
        <v>10212</v>
      </c>
      <c r="E226" s="7">
        <v>119567.48</v>
      </c>
      <c r="F226" s="7">
        <v>1214682.78</v>
      </c>
      <c r="G226" s="7">
        <v>94.94</v>
      </c>
      <c r="H226" s="11">
        <f xml:space="preserve"> 0.0000178751*Table1[[#This Row],[x]] + 8.7126697145</f>
        <v>10.849950376248</v>
      </c>
      <c r="I226" s="11">
        <f xml:space="preserve"> 0.0000090591*Table1[[#This Row],[y]] + 48.9228858653</f>
        <v>59.926818637598004</v>
      </c>
      <c r="J226" s="7">
        <v>52.998999999999995</v>
      </c>
      <c r="K226" s="7">
        <v>41.941000000000003</v>
      </c>
      <c r="L226" s="5" t="s">
        <v>150</v>
      </c>
    </row>
    <row r="227" spans="1:12" x14ac:dyDescent="0.25">
      <c r="A227" s="5">
        <v>2</v>
      </c>
      <c r="B227" s="5" t="s">
        <v>133</v>
      </c>
      <c r="C227" s="5" t="s">
        <v>266</v>
      </c>
      <c r="D227" s="6">
        <v>10211</v>
      </c>
      <c r="E227" s="7">
        <v>119567.48</v>
      </c>
      <c r="F227" s="7">
        <v>1214682.78</v>
      </c>
      <c r="G227" s="7">
        <v>94.94</v>
      </c>
      <c r="H227" s="11">
        <f xml:space="preserve"> 0.0000178751*Table1[[#This Row],[x]] + 8.7126697145</f>
        <v>10.849950376248</v>
      </c>
      <c r="I227" s="11">
        <f xml:space="preserve"> 0.0000090591*Table1[[#This Row],[y]] + 48.9228858653</f>
        <v>59.926818637598004</v>
      </c>
      <c r="J227" s="7">
        <v>66</v>
      </c>
      <c r="K227" s="7">
        <v>28.94000244140625</v>
      </c>
      <c r="L227" s="5" t="s">
        <v>150</v>
      </c>
    </row>
    <row r="228" spans="1:12" x14ac:dyDescent="0.25">
      <c r="A228" s="5"/>
      <c r="B228" s="5"/>
      <c r="C228" s="5" t="s">
        <v>267</v>
      </c>
      <c r="D228" s="6"/>
      <c r="E228" s="7">
        <v>109710.2</v>
      </c>
      <c r="F228" s="7">
        <v>1216018</v>
      </c>
      <c r="G228" s="7"/>
      <c r="H228" s="11">
        <f xml:space="preserve"> 0.0000178751*Table1[[#This Row],[x]] + 8.7126697145</f>
        <v>10.673750510520001</v>
      </c>
      <c r="I228" s="11">
        <f xml:space="preserve"> 0.0000090591*Table1[[#This Row],[y]] + 48.9228858653</f>
        <v>59.938914529100003</v>
      </c>
      <c r="J228" s="7"/>
      <c r="K228" s="7"/>
      <c r="L228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20" ma:contentTypeDescription="Opprett et nytt dokument." ma:contentTypeScope="" ma:versionID="25fb6b7d2b9e420d47fefb8809cf9f88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10dafb62b0ca0702cc92f980f93fa400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</documentManagement>
</p:properties>
</file>

<file path=customXml/itemProps1.xml><?xml version="1.0" encoding="utf-8"?>
<ds:datastoreItem xmlns:ds="http://schemas.openxmlformats.org/officeDocument/2006/customXml" ds:itemID="{E424154A-87D3-4514-AB4E-005BC2FB0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6AFB8D-26A6-403A-B20B-77696A1D03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7925F-0696-4CE8-A6A2-9FF106EFE0CB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piezometers_position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Kåre Viga Skretting</dc:creator>
  <cp:keywords/>
  <dc:description/>
  <cp:lastModifiedBy>Kåre Viga Skretting</cp:lastModifiedBy>
  <cp:revision/>
  <dcterms:created xsi:type="dcterms:W3CDTF">2015-06-05T18:17:20Z</dcterms:created>
  <dcterms:modified xsi:type="dcterms:W3CDTF">2026-03-27T11:39:44Z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