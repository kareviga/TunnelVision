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EC78814E-778C-4393-9E17-1D8B0EC611E7}" xr6:coauthVersionLast="47" xr6:coauthVersionMax="47" xr10:uidLastSave="{00000000-0000-0000-0000-000000000000}"/>
  <bookViews>
    <workbookView xWindow="-28920" yWindow="2760" windowWidth="29040" windowHeight="15720" xr2:uid="{9676DE2D-F0E9-4E92-91A3-594609124B80}"/>
  </bookViews>
  <sheets>
    <sheet name="pregrouting_data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7" i="24" l="1"/>
  <c r="Y151" i="24"/>
  <c r="Y148" i="24"/>
  <c r="U139" i="24"/>
  <c r="T99" i="24"/>
  <c r="T96" i="24"/>
  <c r="T93" i="24"/>
  <c r="U70" i="24"/>
  <c r="T66" i="24"/>
  <c r="T68" i="24" s="1"/>
  <c r="J2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58" i="24"/>
  <c r="J159" i="24"/>
  <c r="J160" i="24"/>
  <c r="J161" i="24"/>
  <c r="J162" i="24"/>
  <c r="J163" i="24"/>
  <c r="J164" i="24"/>
  <c r="J165" i="24"/>
  <c r="J166" i="24"/>
  <c r="J167" i="24"/>
  <c r="J168" i="24"/>
  <c r="J169" i="24"/>
  <c r="J170" i="24"/>
  <c r="J171" i="24"/>
  <c r="J172" i="24"/>
  <c r="J173" i="24"/>
  <c r="J174" i="24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J218" i="24"/>
  <c r="J219" i="24"/>
  <c r="J220" i="24"/>
  <c r="J221" i="24"/>
  <c r="J222" i="24"/>
  <c r="J223" i="24"/>
  <c r="J224" i="24"/>
  <c r="J225" i="24"/>
  <c r="J226" i="24"/>
  <c r="J227" i="24"/>
  <c r="J228" i="24"/>
  <c r="J229" i="24"/>
  <c r="J230" i="24"/>
  <c r="J231" i="24"/>
  <c r="J232" i="24"/>
  <c r="J233" i="24"/>
  <c r="J234" i="24"/>
  <c r="J235" i="24"/>
  <c r="J236" i="24"/>
  <c r="J237" i="24"/>
  <c r="J238" i="24"/>
  <c r="J239" i="24"/>
  <c r="J240" i="24"/>
  <c r="J241" i="24"/>
  <c r="J242" i="24"/>
  <c r="J243" i="24"/>
  <c r="J244" i="24"/>
  <c r="J245" i="24"/>
  <c r="J246" i="24"/>
  <c r="J247" i="24"/>
  <c r="J248" i="24"/>
  <c r="J249" i="24"/>
  <c r="J250" i="24"/>
  <c r="J251" i="24"/>
  <c r="J252" i="24"/>
  <c r="J253" i="24"/>
  <c r="J254" i="24"/>
  <c r="J255" i="24"/>
  <c r="J256" i="24"/>
  <c r="J257" i="24"/>
  <c r="J258" i="24"/>
  <c r="J259" i="24"/>
  <c r="J260" i="24"/>
  <c r="J261" i="24"/>
  <c r="J262" i="24"/>
  <c r="J263" i="24"/>
  <c r="J264" i="24"/>
  <c r="J265" i="24"/>
  <c r="J266" i="24"/>
  <c r="J267" i="24"/>
  <c r="J268" i="24"/>
  <c r="J269" i="24"/>
  <c r="J270" i="24"/>
  <c r="J271" i="24"/>
  <c r="J272" i="24"/>
  <c r="J273" i="24"/>
  <c r="J274" i="24"/>
  <c r="J275" i="24"/>
  <c r="J276" i="24"/>
  <c r="J277" i="24"/>
  <c r="J278" i="24"/>
  <c r="J279" i="24"/>
  <c r="J280" i="24"/>
  <c r="J281" i="24"/>
  <c r="J282" i="24"/>
  <c r="J283" i="24"/>
  <c r="J284" i="24"/>
  <c r="J285" i="24"/>
  <c r="J286" i="24"/>
  <c r="J287" i="24"/>
  <c r="J288" i="24"/>
  <c r="J289" i="24"/>
  <c r="J290" i="24"/>
  <c r="J291" i="24"/>
  <c r="J292" i="24"/>
  <c r="J293" i="24"/>
  <c r="J294" i="24"/>
  <c r="J295" i="24"/>
  <c r="J296" i="24"/>
  <c r="J297" i="24"/>
  <c r="J298" i="24"/>
  <c r="J299" i="24"/>
  <c r="J300" i="24"/>
  <c r="J301" i="24"/>
  <c r="J302" i="24"/>
  <c r="J303" i="24"/>
  <c r="J304" i="24"/>
  <c r="J305" i="24"/>
  <c r="J306" i="24"/>
  <c r="J307" i="24"/>
  <c r="J308" i="24"/>
  <c r="J309" i="24"/>
  <c r="J310" i="24"/>
  <c r="J311" i="24"/>
  <c r="J312" i="24"/>
  <c r="J313" i="24"/>
  <c r="J314" i="24"/>
  <c r="J315" i="24"/>
  <c r="J316" i="24"/>
  <c r="J317" i="24"/>
  <c r="J318" i="24"/>
  <c r="J319" i="24"/>
  <c r="J320" i="24"/>
  <c r="J321" i="24"/>
  <c r="J322" i="24"/>
  <c r="J323" i="24"/>
  <c r="J324" i="24"/>
  <c r="J325" i="24"/>
  <c r="J326" i="24"/>
  <c r="J327" i="24"/>
  <c r="J328" i="24"/>
  <c r="J329" i="24"/>
  <c r="J330" i="24"/>
  <c r="J331" i="24"/>
  <c r="J332" i="24"/>
  <c r="J333" i="24"/>
  <c r="J334" i="24"/>
  <c r="J335" i="24"/>
  <c r="J336" i="24"/>
  <c r="J337" i="24"/>
  <c r="J338" i="24"/>
  <c r="J339" i="24"/>
  <c r="J340" i="24"/>
  <c r="J341" i="24"/>
  <c r="J342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8" i="24"/>
  <c r="J359" i="24"/>
  <c r="J360" i="24"/>
  <c r="J361" i="24"/>
  <c r="J362" i="24"/>
  <c r="J363" i="24"/>
  <c r="J364" i="24"/>
  <c r="J365" i="24"/>
  <c r="J366" i="24"/>
  <c r="J367" i="24"/>
  <c r="J368" i="24"/>
  <c r="J369" i="24"/>
  <c r="J370" i="24"/>
  <c r="J371" i="24"/>
  <c r="J372" i="24"/>
  <c r="J373" i="24"/>
  <c r="J374" i="24"/>
  <c r="J375" i="24"/>
  <c r="J376" i="24"/>
  <c r="J377" i="24"/>
  <c r="J378" i="24"/>
  <c r="J379" i="24"/>
  <c r="J380" i="24"/>
  <c r="J381" i="24"/>
  <c r="J382" i="24"/>
  <c r="J383" i="24"/>
  <c r="J384" i="24"/>
  <c r="J385" i="24"/>
  <c r="J386" i="24"/>
  <c r="J387" i="24"/>
  <c r="J388" i="24"/>
  <c r="J389" i="24"/>
  <c r="J390" i="24"/>
  <c r="J391" i="24"/>
  <c r="J392" i="24"/>
  <c r="J393" i="24"/>
  <c r="J394" i="24"/>
  <c r="J395" i="24"/>
  <c r="J396" i="24"/>
  <c r="J397" i="24"/>
  <c r="J398" i="24"/>
  <c r="J399" i="24"/>
  <c r="J400" i="24"/>
  <c r="J401" i="24"/>
  <c r="J402" i="24"/>
  <c r="J403" i="24"/>
  <c r="J404" i="24"/>
  <c r="J405" i="24"/>
  <c r="J406" i="24"/>
  <c r="J407" i="24"/>
  <c r="J408" i="24"/>
  <c r="J409" i="24"/>
  <c r="J410" i="24"/>
  <c r="J411" i="24"/>
  <c r="J412" i="24"/>
  <c r="J413" i="24"/>
  <c r="J414" i="24"/>
  <c r="J415" i="24"/>
  <c r="J416" i="24"/>
  <c r="J417" i="24"/>
  <c r="J418" i="24"/>
  <c r="J419" i="24"/>
  <c r="J420" i="24"/>
  <c r="J421" i="24"/>
  <c r="J422" i="24"/>
  <c r="J423" i="24"/>
  <c r="J424" i="24"/>
  <c r="J425" i="24"/>
  <c r="J426" i="24"/>
  <c r="J427" i="24"/>
  <c r="J428" i="24"/>
  <c r="J429" i="24"/>
  <c r="J430" i="24"/>
  <c r="J431" i="24"/>
  <c r="J432" i="24"/>
  <c r="J433" i="24"/>
  <c r="J434" i="24"/>
  <c r="J435" i="24"/>
  <c r="J436" i="24"/>
  <c r="J437" i="24"/>
  <c r="J438" i="24"/>
  <c r="J439" i="24"/>
  <c r="J440" i="24"/>
  <c r="J441" i="24"/>
  <c r="J442" i="24"/>
  <c r="J443" i="24"/>
  <c r="J444" i="24"/>
  <c r="J445" i="24"/>
  <c r="J446" i="24"/>
  <c r="J447" i="24"/>
  <c r="J448" i="24"/>
  <c r="J449" i="24"/>
  <c r="J450" i="24"/>
  <c r="J451" i="24"/>
  <c r="J452" i="24"/>
  <c r="J453" i="24"/>
  <c r="J454" i="24"/>
  <c r="J455" i="24"/>
  <c r="J456" i="24"/>
  <c r="J457" i="24"/>
  <c r="J458" i="24"/>
  <c r="J459" i="24"/>
  <c r="J460" i="24"/>
  <c r="J461" i="24"/>
  <c r="J462" i="24"/>
  <c r="J463" i="24"/>
  <c r="J464" i="24"/>
  <c r="J465" i="24"/>
  <c r="J466" i="24"/>
  <c r="J467" i="24"/>
  <c r="J468" i="24"/>
  <c r="J469" i="24"/>
  <c r="J470" i="24"/>
  <c r="J471" i="24"/>
  <c r="J472" i="24"/>
  <c r="J473" i="24"/>
  <c r="J474" i="24"/>
  <c r="J475" i="24"/>
  <c r="J476" i="24"/>
  <c r="J477" i="24"/>
  <c r="J478" i="24"/>
  <c r="J479" i="24"/>
  <c r="J480" i="24"/>
  <c r="J481" i="24"/>
  <c r="J482" i="24"/>
  <c r="J483" i="24"/>
  <c r="J484" i="24"/>
  <c r="J485" i="24"/>
  <c r="J486" i="24"/>
  <c r="J487" i="24"/>
  <c r="J488" i="24"/>
  <c r="J489" i="24"/>
  <c r="J490" i="24"/>
  <c r="J491" i="24"/>
  <c r="J492" i="24"/>
  <c r="J493" i="24"/>
  <c r="J494" i="24"/>
  <c r="J495" i="24"/>
  <c r="J496" i="24"/>
  <c r="J497" i="24"/>
  <c r="J498" i="24"/>
  <c r="J499" i="24"/>
  <c r="J500" i="24"/>
  <c r="J501" i="24"/>
  <c r="J502" i="24"/>
  <c r="J503" i="24"/>
  <c r="J504" i="24"/>
  <c r="J505" i="24"/>
  <c r="J506" i="24"/>
  <c r="J507" i="24"/>
  <c r="J508" i="24"/>
  <c r="J509" i="24"/>
  <c r="J510" i="24"/>
  <c r="J511" i="24"/>
  <c r="J512" i="24"/>
  <c r="J513" i="24"/>
  <c r="J514" i="24"/>
  <c r="J515" i="24"/>
  <c r="J516" i="24"/>
  <c r="J517" i="24"/>
  <c r="J518" i="24"/>
  <c r="J519" i="24"/>
  <c r="J520" i="24"/>
  <c r="J521" i="24"/>
  <c r="J522" i="24"/>
  <c r="J523" i="24"/>
  <c r="J524" i="24"/>
  <c r="J525" i="24"/>
  <c r="J526" i="24"/>
  <c r="J527" i="24"/>
  <c r="J528" i="24"/>
  <c r="J529" i="24"/>
  <c r="J530" i="24"/>
  <c r="J531" i="24"/>
  <c r="J532" i="24"/>
  <c r="J533" i="24"/>
  <c r="J534" i="24"/>
  <c r="J535" i="24"/>
  <c r="J536" i="24"/>
  <c r="J537" i="24"/>
  <c r="J538" i="24"/>
  <c r="J539" i="24"/>
  <c r="J540" i="24"/>
  <c r="J541" i="24"/>
  <c r="J542" i="24"/>
  <c r="J543" i="24"/>
  <c r="J544" i="24"/>
  <c r="J545" i="24"/>
  <c r="J546" i="24"/>
  <c r="J547" i="24"/>
  <c r="J548" i="24"/>
  <c r="J549" i="24"/>
  <c r="J550" i="24"/>
  <c r="J551" i="24"/>
  <c r="J552" i="24"/>
  <c r="J553" i="24"/>
  <c r="J554" i="24"/>
  <c r="J555" i="24"/>
  <c r="J556" i="24"/>
  <c r="J557" i="24"/>
  <c r="J558" i="24"/>
  <c r="J559" i="24"/>
  <c r="J560" i="24"/>
  <c r="J561" i="24"/>
  <c r="J562" i="24"/>
  <c r="J563" i="24"/>
  <c r="J564" i="24"/>
  <c r="J565" i="24"/>
  <c r="J566" i="24"/>
  <c r="J567" i="24"/>
  <c r="J568" i="24"/>
  <c r="J569" i="24"/>
  <c r="J570" i="24"/>
  <c r="J571" i="24"/>
  <c r="J572" i="24"/>
  <c r="J573" i="24"/>
  <c r="J574" i="24"/>
  <c r="J575" i="24"/>
  <c r="J576" i="24"/>
  <c r="J577" i="24"/>
  <c r="J578" i="24"/>
  <c r="J579" i="24"/>
  <c r="J580" i="24"/>
  <c r="J581" i="24"/>
  <c r="J582" i="24"/>
  <c r="J583" i="24"/>
  <c r="J584" i="24"/>
  <c r="J585" i="24"/>
  <c r="J586" i="24"/>
  <c r="J587" i="24"/>
  <c r="J588" i="24"/>
  <c r="J589" i="24"/>
  <c r="D472" i="24"/>
  <c r="G428" i="24"/>
  <c r="G427" i="24"/>
  <c r="G310" i="24"/>
  <c r="G278" i="24"/>
  <c r="G277" i="24"/>
  <c r="G272" i="24"/>
  <c r="G246" i="24"/>
  <c r="G245" i="24"/>
  <c r="G214" i="24"/>
  <c r="G151" i="24"/>
  <c r="G147" i="24"/>
  <c r="G148" i="24" s="1"/>
  <c r="G143" i="24"/>
  <c r="G124" i="24"/>
  <c r="F119" i="24"/>
  <c r="F121" i="24" s="1"/>
  <c r="F122" i="24" s="1"/>
  <c r="F123" i="24" s="1"/>
  <c r="F124" i="24" s="1"/>
  <c r="F125" i="24" s="1"/>
  <c r="F126" i="24" s="1"/>
  <c r="F127" i="24" s="1"/>
  <c r="F128" i="24" s="1"/>
  <c r="F129" i="24" s="1"/>
  <c r="F130" i="24" s="1"/>
  <c r="F131" i="24" s="1"/>
  <c r="F132" i="24" s="1"/>
  <c r="F133" i="24" s="1"/>
  <c r="F134" i="24" s="1"/>
  <c r="F135" i="24" s="1"/>
  <c r="F136" i="24" s="1"/>
  <c r="F137" i="24" s="1"/>
  <c r="F138" i="24" s="1"/>
  <c r="F139" i="24" s="1"/>
  <c r="F140" i="24" s="1"/>
  <c r="F141" i="24" s="1"/>
  <c r="F142" i="24" s="1"/>
  <c r="F143" i="24" s="1"/>
  <c r="F144" i="24" s="1"/>
  <c r="F145" i="24" s="1"/>
  <c r="F146" i="24" s="1"/>
  <c r="F147" i="24" s="1"/>
  <c r="F148" i="24" s="1"/>
  <c r="F149" i="24" s="1"/>
  <c r="F150" i="24" s="1"/>
  <c r="F151" i="24" s="1"/>
  <c r="F152" i="24" s="1"/>
  <c r="F153" i="24" s="1"/>
  <c r="F154" i="24" s="1"/>
  <c r="F155" i="24" s="1"/>
  <c r="F156" i="24" s="1"/>
  <c r="F157" i="24" s="1"/>
  <c r="F158" i="24" s="1"/>
  <c r="F159" i="24" s="1"/>
  <c r="F160" i="24" s="1"/>
  <c r="F161" i="24" s="1"/>
  <c r="F162" i="24" s="1"/>
  <c r="F163" i="24" s="1"/>
  <c r="F164" i="24" s="1"/>
  <c r="F165" i="24" s="1"/>
  <c r="F166" i="24" s="1"/>
  <c r="F167" i="24" s="1"/>
  <c r="F168" i="24" s="1"/>
  <c r="F169" i="24" s="1"/>
  <c r="F170" i="24" s="1"/>
  <c r="F171" i="24" s="1"/>
  <c r="F172" i="24" s="1"/>
  <c r="F173" i="24" s="1"/>
  <c r="F174" i="24" s="1"/>
  <c r="F175" i="24" s="1"/>
  <c r="F176" i="24" s="1"/>
  <c r="F177" i="24" s="1"/>
  <c r="F178" i="24" s="1"/>
  <c r="F179" i="24" s="1"/>
  <c r="F180" i="24" s="1"/>
  <c r="F181" i="24" s="1"/>
  <c r="F182" i="24" s="1"/>
  <c r="F183" i="24" s="1"/>
  <c r="F184" i="24" s="1"/>
  <c r="F185" i="24" s="1"/>
  <c r="F186" i="24" s="1"/>
  <c r="F187" i="24" s="1"/>
  <c r="F188" i="24" s="1"/>
  <c r="F189" i="24" s="1"/>
  <c r="F190" i="24" s="1"/>
  <c r="F191" i="24" s="1"/>
  <c r="F192" i="24" s="1"/>
  <c r="F193" i="24" s="1"/>
  <c r="F194" i="24" s="1"/>
  <c r="F195" i="24" s="1"/>
  <c r="F196" i="24" s="1"/>
  <c r="F197" i="24" s="1"/>
  <c r="F198" i="24" s="1"/>
  <c r="F199" i="24" s="1"/>
  <c r="F200" i="24" s="1"/>
  <c r="F201" i="24" s="1"/>
  <c r="F202" i="24" s="1"/>
  <c r="F203" i="24" s="1"/>
  <c r="F204" i="24" s="1"/>
  <c r="F205" i="24" s="1"/>
  <c r="F206" i="24" s="1"/>
  <c r="F207" i="24" s="1"/>
  <c r="F208" i="24" s="1"/>
  <c r="F209" i="24" s="1"/>
  <c r="F210" i="24" s="1"/>
  <c r="F211" i="24" s="1"/>
  <c r="F212" i="24" s="1"/>
  <c r="F213" i="24" s="1"/>
  <c r="F214" i="24" s="1"/>
  <c r="F215" i="24" s="1"/>
  <c r="F216" i="24" s="1"/>
  <c r="F217" i="24" s="1"/>
  <c r="F218" i="24" s="1"/>
  <c r="F219" i="24" s="1"/>
  <c r="F220" i="24" s="1"/>
  <c r="F221" i="24" s="1"/>
  <c r="F222" i="24" s="1"/>
  <c r="F223" i="24" s="1"/>
  <c r="F224" i="24" s="1"/>
  <c r="F225" i="24" s="1"/>
  <c r="F226" i="24" s="1"/>
  <c r="F227" i="24" s="1"/>
  <c r="F228" i="24" s="1"/>
  <c r="F229" i="24" s="1"/>
  <c r="F230" i="24" s="1"/>
  <c r="F231" i="24" s="1"/>
  <c r="F232" i="24" s="1"/>
  <c r="F233" i="24" s="1"/>
  <c r="F234" i="24" s="1"/>
  <c r="F235" i="24" s="1"/>
  <c r="F236" i="24" s="1"/>
  <c r="F237" i="24" s="1"/>
  <c r="F238" i="24" s="1"/>
  <c r="F239" i="24" s="1"/>
  <c r="F240" i="24" s="1"/>
  <c r="F241" i="24" s="1"/>
  <c r="F242" i="24" s="1"/>
  <c r="F243" i="24" s="1"/>
  <c r="F244" i="24" s="1"/>
  <c r="F245" i="24" s="1"/>
  <c r="F246" i="24" s="1"/>
  <c r="F247" i="24" s="1"/>
  <c r="F248" i="24" s="1"/>
  <c r="F249" i="24" s="1"/>
  <c r="F250" i="24" s="1"/>
  <c r="F251" i="24" s="1"/>
  <c r="F252" i="24" s="1"/>
  <c r="F253" i="24" s="1"/>
  <c r="F254" i="24" s="1"/>
  <c r="F255" i="24" s="1"/>
  <c r="F256" i="24" s="1"/>
  <c r="F257" i="24" s="1"/>
  <c r="F258" i="24" s="1"/>
  <c r="F259" i="24" s="1"/>
  <c r="F260" i="24" s="1"/>
  <c r="F261" i="24" s="1"/>
  <c r="F262" i="24" s="1"/>
  <c r="F263" i="24" s="1"/>
  <c r="F264" i="24" s="1"/>
  <c r="F265" i="24" s="1"/>
  <c r="F266" i="24" s="1"/>
  <c r="F267" i="24" s="1"/>
  <c r="F268" i="24" s="1"/>
  <c r="F269" i="24" s="1"/>
  <c r="F270" i="24" s="1"/>
  <c r="F271" i="24" s="1"/>
  <c r="F272" i="24" s="1"/>
  <c r="F273" i="24" s="1"/>
  <c r="F274" i="24" s="1"/>
  <c r="F275" i="24" s="1"/>
  <c r="F276" i="24" s="1"/>
  <c r="F277" i="24" s="1"/>
  <c r="F278" i="24" s="1"/>
  <c r="G115" i="24"/>
  <c r="G101" i="24"/>
  <c r="G98" i="24"/>
  <c r="G95" i="24"/>
  <c r="G94" i="24"/>
  <c r="G93" i="24"/>
  <c r="G92" i="24"/>
  <c r="G91" i="24"/>
  <c r="G90" i="24"/>
  <c r="G88" i="24"/>
  <c r="G85" i="24"/>
  <c r="G84" i="24"/>
  <c r="G82" i="24"/>
  <c r="G81" i="24"/>
  <c r="G80" i="24"/>
  <c r="G79" i="24"/>
  <c r="G78" i="24"/>
  <c r="G77" i="24"/>
  <c r="G76" i="24"/>
  <c r="G75" i="24"/>
  <c r="G74" i="24"/>
  <c r="G73" i="24"/>
  <c r="G72" i="24"/>
  <c r="G70" i="24"/>
  <c r="G69" i="24"/>
  <c r="G68" i="24"/>
  <c r="G59" i="24"/>
  <c r="G58" i="24"/>
  <c r="G55" i="24"/>
  <c r="G52" i="24"/>
  <c r="G51" i="24"/>
  <c r="T67" i="24" l="1"/>
  <c r="T69" i="24" s="1"/>
  <c r="T70" i="24" s="1"/>
  <c r="T71" i="24" s="1"/>
  <c r="T72" i="24" s="1"/>
  <c r="T73" i="24" s="1"/>
  <c r="T74" i="24" s="1"/>
  <c r="T75" i="24" s="1"/>
  <c r="T76" i="24" s="1"/>
  <c r="T77" i="24" s="1"/>
  <c r="T78" i="24" s="1"/>
  <c r="T79" i="24" s="1"/>
  <c r="T80" i="24" s="1"/>
  <c r="T81" i="24" s="1"/>
  <c r="T82" i="24" s="1"/>
  <c r="T83" i="24" s="1"/>
  <c r="T84" i="24" s="1"/>
  <c r="T85" i="24" s="1"/>
  <c r="T86" i="24" s="1"/>
  <c r="T87" i="24" s="1"/>
  <c r="T88" i="24" s="1"/>
  <c r="T89" i="24" s="1"/>
  <c r="T90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633A5-AC99-483A-A247-5FCBB0E9C1D0}" keepAlive="1" interval="60" name="Query - TBMPROD126A TBMs1349_beverGroutingReport" description="Connection to the 'TBMPROD126A TBMs1349_beverGroutingReport' query in the workbook." type="5" refreshedVersion="8" background="1" saveData="1">
    <dbPr connection="Provider=Microsoft.Mashup.OleDb.1;Data Source=$Workbook$;Location=&quot;TBMPROD126A TBMs1349_beverGroutingReport&quot;;Extended Properties=&quot;&quot;" command="SELECT * FROM [TBMPROD126A TBMs1349_beverGroutingReport]"/>
  </connection>
</connections>
</file>

<file path=xl/sharedStrings.xml><?xml version="1.0" encoding="utf-8"?>
<sst xmlns="http://schemas.openxmlformats.org/spreadsheetml/2006/main" count="2360" uniqueCount="123">
  <si>
    <t>Probe</t>
  </si>
  <si>
    <t/>
  </si>
  <si>
    <t>Injection</t>
  </si>
  <si>
    <t>No</t>
  </si>
  <si>
    <t>No equipment</t>
  </si>
  <si>
    <t>Yes</t>
  </si>
  <si>
    <t>Unknown</t>
  </si>
  <si>
    <t>Lack of staff</t>
  </si>
  <si>
    <t>Collapsed borehole</t>
  </si>
  <si>
    <t>Control</t>
  </si>
  <si>
    <t>Water from borehole</t>
  </si>
  <si>
    <t>Glass broken due to collapse</t>
  </si>
  <si>
    <t>Loose rock</t>
  </si>
  <si>
    <t>All holes grouted</t>
  </si>
  <si>
    <t>HSE course</t>
  </si>
  <si>
    <t>Winch broken - electrical issue</t>
  </si>
  <si>
    <t>Winch broken - electrical issue - Risk of collapse</t>
  </si>
  <si>
    <t>Connection issue</t>
  </si>
  <si>
    <t>training OTV</t>
  </si>
  <si>
    <t>Packers placed</t>
  </si>
  <si>
    <t>Elettricity issue</t>
  </si>
  <si>
    <t>Evacuation from TBM</t>
  </si>
  <si>
    <t xml:space="preserve">Evacuation from TBM </t>
  </si>
  <si>
    <t>Probe under maintainance</t>
  </si>
  <si>
    <t>Poor rock conditions</t>
  </si>
  <si>
    <t>Broken glass due to borehole collapse</t>
  </si>
  <si>
    <t>Grout flowing out of hole</t>
  </si>
  <si>
    <t>High water leakage in che hole</t>
  </si>
  <si>
    <t>High water leakage in the hole</t>
  </si>
  <si>
    <t>Equipment under repair</t>
  </si>
  <si>
    <t>Grouting flowing from hole</t>
  </si>
  <si>
    <t>Control holes, no grouting, mechanical packers</t>
  </si>
  <si>
    <t>Hole collapsed</t>
  </si>
  <si>
    <t>Bad rock conditions</t>
  </si>
  <si>
    <t>Equipment damaged</t>
  </si>
  <si>
    <t>Equioment damaged</t>
  </si>
  <si>
    <t>Broken chain</t>
  </si>
  <si>
    <t>Poor rock conditions - Water</t>
  </si>
  <si>
    <t>35 l/min water (paker placed)</t>
  </si>
  <si>
    <t>Hole collapsed. Equipment broken.</t>
  </si>
  <si>
    <t>Cement flowing from the hole</t>
  </si>
  <si>
    <t>Unable to insert tool - Broken rock</t>
  </si>
  <si>
    <t>Collapse at 13 m</t>
  </si>
  <si>
    <t>Unable to insert tool. Hole is kinked.</t>
  </si>
  <si>
    <t>Poor image quality. Too high log speed?</t>
  </si>
  <si>
    <t>Short log. Broken tool due to borehole collapse.</t>
  </si>
  <si>
    <t>20 l/min in hole 1</t>
  </si>
  <si>
    <t>extra holes, second screen</t>
  </si>
  <si>
    <t>Poor rock conditions. Lack of staff</t>
  </si>
  <si>
    <t xml:space="preserve">Control holes </t>
  </si>
  <si>
    <t>Poor image quality. Too much sement?</t>
  </si>
  <si>
    <t>20m Logged due to OTV not being able to be pushed any further</t>
  </si>
  <si>
    <t>16m Logged due to OTV not being able to be pushed any further</t>
  </si>
  <si>
    <t>Harder rock</t>
  </si>
  <si>
    <t>Lack of staff (OTV ready at shift change)</t>
  </si>
  <si>
    <t xml:space="preserve">14m logged. Blocked </t>
  </si>
  <si>
    <t>Too much water</t>
  </si>
  <si>
    <t>Log starts at depth 11m (technical issue)</t>
  </si>
  <si>
    <t>Collapsed borehole at 22 m. Tool stuck during logging.</t>
  </si>
  <si>
    <t>30m, not being able to push further</t>
  </si>
  <si>
    <t>yes</t>
  </si>
  <si>
    <t>Restistance at 24 m</t>
  </si>
  <si>
    <t>Too much water in hole 1 and 23</t>
  </si>
  <si>
    <t>Two logs</t>
  </si>
  <si>
    <t>32m</t>
  </si>
  <si>
    <t>NO</t>
  </si>
  <si>
    <t>Hole blocked. Poor material</t>
  </si>
  <si>
    <t>Technical issue</t>
  </si>
  <si>
    <t>stopped at ca. 35m due to big resistance when pushing in</t>
  </si>
  <si>
    <t>stopped at ca. 27m due to big resistance when pushing in</t>
  </si>
  <si>
    <t>Blocked hole, ca 1-2m from start</t>
  </si>
  <si>
    <t>Collapsed hole</t>
  </si>
  <si>
    <t>Loggersuite not working</t>
  </si>
  <si>
    <t>Incorrect depth</t>
  </si>
  <si>
    <t xml:space="preserve">22m, blocked hole, </t>
  </si>
  <si>
    <t xml:space="preserve">39m </t>
  </si>
  <si>
    <t>Stopped at ca. 26m due to big resistance.</t>
  </si>
  <si>
    <t>Log starts at -35. 37m long</t>
  </si>
  <si>
    <t>38m</t>
  </si>
  <si>
    <t xml:space="preserve">Injection </t>
  </si>
  <si>
    <t xml:space="preserve">Too much water </t>
  </si>
  <si>
    <t>40m</t>
  </si>
  <si>
    <t>Collapsed/blocked hole at the beginning</t>
  </si>
  <si>
    <t>33m</t>
  </si>
  <si>
    <t>Statnett tunnel, No OTV</t>
  </si>
  <si>
    <t>Hole nr 2</t>
  </si>
  <si>
    <t>Poor rock</t>
  </si>
  <si>
    <t>Norcem Micro</t>
  </si>
  <si>
    <t>Ultrafine</t>
  </si>
  <si>
    <t>Ultrafine + Microcement</t>
  </si>
  <si>
    <t>Ultrafine + Micro</t>
  </si>
  <si>
    <t>Norcem Micro + Tarmac (4.5t)</t>
  </si>
  <si>
    <t>No grouting</t>
  </si>
  <si>
    <t>173,6</t>
  </si>
  <si>
    <t>510,1</t>
  </si>
  <si>
    <t>Nocrem Micro</t>
  </si>
  <si>
    <t>norcem Micro</t>
  </si>
  <si>
    <t>Norcem micro</t>
  </si>
  <si>
    <t>round</t>
  </si>
  <si>
    <t>screen</t>
  </si>
  <si>
    <t>date</t>
  </si>
  <si>
    <t>advance</t>
  </si>
  <si>
    <t>chainage</t>
  </si>
  <si>
    <t>capacity</t>
  </si>
  <si>
    <t>screen_length_m</t>
  </si>
  <si>
    <t>inleakage_l_per_min</t>
  </si>
  <si>
    <t>drill_type</t>
  </si>
  <si>
    <t>total_drillmeters</t>
  </si>
  <si>
    <t>start_drilling</t>
  </si>
  <si>
    <t>end_drilling</t>
  </si>
  <si>
    <t>totel_time</t>
  </si>
  <si>
    <t>otv</t>
  </si>
  <si>
    <t>deviation_measurement</t>
  </si>
  <si>
    <t>otv_comment</t>
  </si>
  <si>
    <t>start_pumping</t>
  </si>
  <si>
    <t>end_pumpping</t>
  </si>
  <si>
    <t>injection_pressure</t>
  </si>
  <si>
    <t>cement_type</t>
  </si>
  <si>
    <t>injection_qty_kg</t>
  </si>
  <si>
    <t>packers</t>
  </si>
  <si>
    <t>superplastisizer_qty</t>
  </si>
  <si>
    <t>accelerator_qty</t>
  </si>
  <si>
    <t>injection_volume_litres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</si>
</sst>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7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1">
    <xf numFmtId="0" fontId="0" fillId="0" borderId="0"/>
    <xf numFmtId="0" fontId="27" fillId="0" borderId="0"/>
    <xf numFmtId="0" fontId="28" fillId="0" borderId="0"/>
    <xf numFmtId="0" fontId="30" fillId="0" borderId="0"/>
    <xf numFmtId="0" fontId="31" fillId="0" borderId="0"/>
    <xf numFmtId="0" fontId="32" fillId="0" borderId="0"/>
    <xf numFmtId="0" fontId="33" fillId="3" borderId="0" applyNumberFormat="0" applyBorder="0" applyAlignment="0" applyProtection="0"/>
    <xf numFmtId="0" fontId="34" fillId="0" borderId="0"/>
    <xf numFmtId="0" fontId="35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26" fillId="0" borderId="0"/>
    <xf numFmtId="0" fontId="48" fillId="0" borderId="0"/>
    <xf numFmtId="0" fontId="25" fillId="0" borderId="0"/>
    <xf numFmtId="0" fontId="24" fillId="0" borderId="0"/>
    <xf numFmtId="0" fontId="23" fillId="0" borderId="0"/>
    <xf numFmtId="0" fontId="50" fillId="0" borderId="0"/>
    <xf numFmtId="0" fontId="51" fillId="0" borderId="0"/>
    <xf numFmtId="0" fontId="52" fillId="0" borderId="0"/>
    <xf numFmtId="0" fontId="54" fillId="0" borderId="0"/>
    <xf numFmtId="0" fontId="55" fillId="0" borderId="0" applyNumberFormat="0" applyFill="0" applyBorder="0" applyAlignment="0" applyProtection="0"/>
    <xf numFmtId="0" fontId="56" fillId="0" borderId="1" applyNumberFormat="0" applyFill="0" applyAlignment="0" applyProtection="0"/>
    <xf numFmtId="0" fontId="57" fillId="0" borderId="2" applyNumberFormat="0" applyFill="0" applyAlignment="0" applyProtection="0"/>
    <xf numFmtId="0" fontId="58" fillId="0" borderId="3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60" fillId="6" borderId="0" applyNumberFormat="0" applyBorder="0" applyAlignment="0" applyProtection="0"/>
    <xf numFmtId="0" fontId="61" fillId="7" borderId="0" applyNumberFormat="0" applyBorder="0" applyAlignment="0" applyProtection="0"/>
    <xf numFmtId="0" fontId="62" fillId="8" borderId="4" applyNumberFormat="0" applyAlignment="0" applyProtection="0"/>
    <xf numFmtId="0" fontId="63" fillId="9" borderId="5" applyNumberFormat="0" applyAlignment="0" applyProtection="0"/>
    <xf numFmtId="0" fontId="64" fillId="9" borderId="4" applyNumberFormat="0" applyAlignment="0" applyProtection="0"/>
    <xf numFmtId="0" fontId="65" fillId="0" borderId="6" applyNumberFormat="0" applyFill="0" applyAlignment="0" applyProtection="0"/>
    <xf numFmtId="0" fontId="49" fillId="10" borderId="7" applyNumberFormat="0" applyAlignment="0" applyProtection="0"/>
    <xf numFmtId="0" fontId="47" fillId="0" borderId="0" applyNumberFormat="0" applyFill="0" applyBorder="0" applyAlignment="0" applyProtection="0"/>
    <xf numFmtId="0" fontId="53" fillId="11" borderId="8" applyNumberFormat="0" applyFont="0" applyAlignment="0" applyProtection="0"/>
    <xf numFmtId="0" fontId="66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67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67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67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67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67" fillId="28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67" fillId="32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8" fillId="0" borderId="0"/>
    <xf numFmtId="0" fontId="23" fillId="0" borderId="0"/>
    <xf numFmtId="0" fontId="69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70" fillId="0" borderId="0"/>
    <xf numFmtId="0" fontId="17" fillId="0" borderId="0"/>
    <xf numFmtId="0" fontId="71" fillId="0" borderId="0"/>
    <xf numFmtId="0" fontId="72" fillId="0" borderId="0"/>
    <xf numFmtId="0" fontId="16" fillId="0" borderId="0"/>
    <xf numFmtId="0" fontId="73" fillId="0" borderId="0"/>
    <xf numFmtId="0" fontId="15" fillId="0" borderId="0"/>
    <xf numFmtId="0" fontId="14" fillId="0" borderId="0"/>
    <xf numFmtId="0" fontId="13" fillId="0" borderId="0"/>
    <xf numFmtId="0" fontId="7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75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77" fillId="0" borderId="0"/>
    <xf numFmtId="0" fontId="2" fillId="0" borderId="0"/>
    <xf numFmtId="0" fontId="1" fillId="0" borderId="0"/>
  </cellStyleXfs>
  <cellXfs count="18">
    <xf numFmtId="0" fontId="0" fillId="0" borderId="0" xfId="0"/>
    <xf numFmtId="166" fontId="76" fillId="0" borderId="0" xfId="0" applyNumberFormat="1" applyFont="1" applyAlignment="1">
      <alignment horizontal="center"/>
    </xf>
    <xf numFmtId="22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center"/>
    </xf>
    <xf numFmtId="0" fontId="76" fillId="36" borderId="0" xfId="0" applyFont="1" applyFill="1" applyAlignment="1">
      <alignment horizontal="center" vertical="center" wrapText="1"/>
    </xf>
    <xf numFmtId="166" fontId="76" fillId="36" borderId="0" xfId="0" applyNumberFormat="1" applyFont="1" applyFill="1" applyAlignment="1">
      <alignment horizontal="center" vertical="center" wrapText="1"/>
    </xf>
    <xf numFmtId="22" fontId="76" fillId="36" borderId="0" xfId="0" applyNumberFormat="1" applyFont="1" applyFill="1" applyAlignment="1">
      <alignment horizontal="center" vertical="center" wrapText="1"/>
    </xf>
    <xf numFmtId="14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left" indent="1"/>
    </xf>
    <xf numFmtId="166" fontId="76" fillId="4" borderId="0" xfId="0" applyNumberFormat="1" applyFont="1" applyFill="1" applyAlignment="1">
      <alignment horizontal="center"/>
    </xf>
    <xf numFmtId="166" fontId="76" fillId="0" borderId="0" xfId="0" applyNumberFormat="1" applyFont="1" applyAlignment="1">
      <alignment horizontal="center" wrapText="1"/>
    </xf>
    <xf numFmtId="166" fontId="76" fillId="5" borderId="0" xfId="0" applyNumberFormat="1" applyFont="1" applyFill="1" applyAlignment="1">
      <alignment horizontal="center"/>
    </xf>
    <xf numFmtId="22" fontId="76" fillId="0" borderId="0" xfId="0" applyNumberFormat="1" applyFont="1" applyAlignment="1">
      <alignment horizontal="center" vertical="center"/>
    </xf>
    <xf numFmtId="22" fontId="76" fillId="2" borderId="0" xfId="0" applyNumberFormat="1" applyFont="1" applyFill="1" applyAlignment="1">
      <alignment horizontal="center"/>
    </xf>
    <xf numFmtId="0" fontId="76" fillId="0" borderId="0" xfId="0" applyFont="1" applyAlignment="1">
      <alignment horizontal="left" indent="2"/>
    </xf>
    <xf numFmtId="0" fontId="76" fillId="0" borderId="0" xfId="0" applyFont="1" applyAlignment="1">
      <alignment horizontal="center" wrapText="1"/>
    </xf>
    <xf numFmtId="166" fontId="76" fillId="0" borderId="0" xfId="0" applyNumberFormat="1" applyFont="1" applyAlignment="1">
      <alignment horizontal="left" indent="1"/>
    </xf>
    <xf numFmtId="22" fontId="76" fillId="4" borderId="0" xfId="0" applyNumberFormat="1" applyFont="1" applyFill="1" applyAlignment="1">
      <alignment horizontal="center" vertical="center" wrapText="1"/>
    </xf>
  </cellXfs>
  <cellStyles count="131">
    <cellStyle name="20% - Accent1" xfId="47" builtinId="30" customBuiltin="1"/>
    <cellStyle name="20% - Accent2" xfId="51" builtinId="34" customBuiltin="1"/>
    <cellStyle name="20% - Accent3" xfId="55" builtinId="38" customBuiltin="1"/>
    <cellStyle name="20% - Accent4" xfId="59" builtinId="42" customBuiltin="1"/>
    <cellStyle name="20% - Accent5" xfId="63" builtinId="46" customBuiltin="1"/>
    <cellStyle name="20% - Accent6" xfId="67" builtinId="50" customBuiltin="1"/>
    <cellStyle name="40% - Accent1" xfId="48" builtinId="31" customBuiltin="1"/>
    <cellStyle name="40% - Accent2" xfId="52" builtinId="35" customBuiltin="1"/>
    <cellStyle name="40% - Accent3" xfId="56" builtinId="39" customBuiltin="1"/>
    <cellStyle name="40% - Accent4" xfId="60" builtinId="43" customBuiltin="1"/>
    <cellStyle name="40% - Accent5" xfId="64" builtinId="47" customBuiltin="1"/>
    <cellStyle name="40% - Accent6" xfId="68" builtinId="51" customBuiltin="1"/>
    <cellStyle name="60% - Accent1" xfId="49" builtinId="32" customBuiltin="1"/>
    <cellStyle name="60% - Accent2" xfId="53" builtinId="36" customBuiltin="1"/>
    <cellStyle name="60% - Accent3" xfId="57" builtinId="40" customBuiltin="1"/>
    <cellStyle name="60% - Accent4" xfId="61" builtinId="44" customBuiltin="1"/>
    <cellStyle name="60% - Accent5" xfId="65" builtinId="48" customBuiltin="1"/>
    <cellStyle name="60% - Accent6" xfId="69" builtinId="52" customBuiltin="1"/>
    <cellStyle name="Accent1" xfId="46" builtinId="29" customBuiltin="1"/>
    <cellStyle name="Accent2" xfId="50" builtinId="33" customBuiltin="1"/>
    <cellStyle name="Accent3" xfId="54" builtinId="37" customBuiltin="1"/>
    <cellStyle name="Accent4" xfId="58" builtinId="41" customBuiltin="1"/>
    <cellStyle name="Accent5" xfId="62" builtinId="45" customBuiltin="1"/>
    <cellStyle name="Accent6" xfId="66" builtinId="49" customBuiltin="1"/>
    <cellStyle name="Bad" xfId="35" builtinId="27" customBuiltin="1"/>
    <cellStyle name="Calculation" xfId="39" builtinId="22" customBuiltin="1"/>
    <cellStyle name="Check Cell" xfId="41" builtinId="23" customBuiltin="1"/>
    <cellStyle name="Explanatory Text" xfId="44" builtinId="53" customBuiltin="1"/>
    <cellStyle name="Good" xfId="34" builtinId="26" customBuiltin="1"/>
    <cellStyle name="Good 2" xfId="6" xr:uid="{1B2D6B26-9D73-4F9E-91CB-5144C916F981}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7" builtinId="20" customBuiltin="1"/>
    <cellStyle name="Linked Cell" xfId="40" builtinId="24" customBuiltin="1"/>
    <cellStyle name="Neutral" xfId="36" builtinId="28" customBuiltin="1"/>
    <cellStyle name="Normal" xfId="0" builtinId="0"/>
    <cellStyle name="Normal 10" xfId="10" xr:uid="{004B7031-72EB-4D0C-AE0E-022F11B7AD92}"/>
    <cellStyle name="Normal 10 2" xfId="81" xr:uid="{147E5A68-7120-4BF8-93AC-2EECCA9286DD}"/>
    <cellStyle name="Normal 11" xfId="11" xr:uid="{1019A5A2-1BCB-4ABA-BAF3-63877073BF48}"/>
    <cellStyle name="Normal 11 2" xfId="82" xr:uid="{A535425D-3171-4ACF-8194-9607F9219C64}"/>
    <cellStyle name="Normal 12" xfId="12" xr:uid="{716D3B14-E846-41F4-9FA0-11F46488776C}"/>
    <cellStyle name="Normal 12 2" xfId="83" xr:uid="{272C65D6-09E6-4171-8871-F8AAC6E1D3F7}"/>
    <cellStyle name="Normal 13" xfId="13" xr:uid="{5A96DC38-E835-4E35-86AF-E733B2CB3350}"/>
    <cellStyle name="Normal 13 2" xfId="84" xr:uid="{9747235C-E4D0-4C77-8117-AEE2F6D8588B}"/>
    <cellStyle name="Normal 14" xfId="14" xr:uid="{17DCB671-C4A7-41DD-8140-2621A6402F8F}"/>
    <cellStyle name="Normal 14 2" xfId="85" xr:uid="{E0E3140B-3AE5-4205-81D0-FE2ABE433057}"/>
    <cellStyle name="Normal 15" xfId="15" xr:uid="{825A1AD1-129B-4FE5-885C-6897FE60E068}"/>
    <cellStyle name="Normal 15 2" xfId="86" xr:uid="{373208F1-E220-4360-8FC5-50ABE8AD7AE4}"/>
    <cellStyle name="Normal 16" xfId="16" xr:uid="{66D047F1-2741-4DA2-9170-4D5AD120A6A1}"/>
    <cellStyle name="Normal 16 2" xfId="87" xr:uid="{1AB8F443-F5CA-46F9-9286-D2606FC31B5A}"/>
    <cellStyle name="Normal 17" xfId="17" xr:uid="{082BC44A-328D-4D4B-817D-5D9C5DE11AFB}"/>
    <cellStyle name="Normal 17 2" xfId="88" xr:uid="{F66F7F88-AC67-4B57-8B22-54EDD40A7CB7}"/>
    <cellStyle name="Normal 18" xfId="18" xr:uid="{3D969E82-CDE2-4BFD-BD65-64C3785E9142}"/>
    <cellStyle name="Normal 18 2" xfId="89" xr:uid="{DFF1AAD0-E329-4612-889B-31E3F2E64280}"/>
    <cellStyle name="Normal 19" xfId="19" xr:uid="{8493533A-99CE-476B-B635-94180A1CBAC7}"/>
    <cellStyle name="Normal 19 2" xfId="90" xr:uid="{6FEEDC31-B1FE-40A1-A314-825F74C4FA37}"/>
    <cellStyle name="Normal 2" xfId="1" xr:uid="{932DB83B-62BD-4CF6-BC83-AC6F16399661}"/>
    <cellStyle name="Normal 2 2" xfId="73" xr:uid="{580301BF-6EBD-4318-B819-025F153C94A6}"/>
    <cellStyle name="Normal 20" xfId="20" xr:uid="{A6C78567-B319-4A07-B028-78F302FBF099}"/>
    <cellStyle name="Normal 20 2" xfId="91" xr:uid="{42DB02B9-2A09-4669-93B2-E1BFD0649BFB}"/>
    <cellStyle name="Normal 21" xfId="21" xr:uid="{16052D06-CA24-4EAA-B952-B1904E2A4DA8}"/>
    <cellStyle name="Normal 21 2" xfId="92" xr:uid="{A1059AA8-9304-40DB-B908-51000C02F485}"/>
    <cellStyle name="Normal 22" xfId="22" xr:uid="{9F3D95C8-1EF0-48AD-89CD-833479DC5B73}"/>
    <cellStyle name="Normal 22 2" xfId="93" xr:uid="{8211CCD5-16A6-491A-9F86-42892D60FE1E}"/>
    <cellStyle name="Normal 23" xfId="23" xr:uid="{C95C994B-856F-40B2-9075-476A379CE407}"/>
    <cellStyle name="Normal 23 2" xfId="94" xr:uid="{333BA626-CF21-41A4-A7D1-A6767F010245}"/>
    <cellStyle name="Normal 24" xfId="24" xr:uid="{9EA7D62B-9548-469B-A22B-AB14CF7FDBBD}"/>
    <cellStyle name="Normal 24 2" xfId="95" xr:uid="{528E693B-AE8A-45CE-9B21-A842192DFDE6}"/>
    <cellStyle name="Normal 25" xfId="25" xr:uid="{A87A471C-D76B-49E2-93E8-29809166DBD5}"/>
    <cellStyle name="Normal 25 2" xfId="70" xr:uid="{61A73FBB-50A4-458F-B050-559C0CD89405}"/>
    <cellStyle name="Normal 26" xfId="26" xr:uid="{3525E742-E8B8-4A6B-A7E4-55FFBD3E3EA5}"/>
    <cellStyle name="Normal 26 2" xfId="71" xr:uid="{BBEF0770-2901-46F6-B0BB-C81689BD23E0}"/>
    <cellStyle name="Normal 27" xfId="27" xr:uid="{1BDA2324-C57C-47FF-81DB-5121D98E2390}"/>
    <cellStyle name="Normal 27 2" xfId="96" xr:uid="{303DA537-F4A6-47CA-B407-7E21A2D451B5}"/>
    <cellStyle name="Normal 27 3" xfId="72" xr:uid="{6F8D84A4-87DE-49B5-A2EB-B2142EE22161}"/>
    <cellStyle name="Normal 28" xfId="28" xr:uid="{29F33A8E-97D4-4F55-B766-5CC5EDD907C5}"/>
    <cellStyle name="Normal 28 2" xfId="97" xr:uid="{1C6D91E6-79C6-4373-ADCF-0991EC5F9579}"/>
    <cellStyle name="Normal 29" xfId="98" xr:uid="{9105A51B-82F0-46D7-86A0-8344FF67E665}"/>
    <cellStyle name="Normal 29 2" xfId="99" xr:uid="{0F09BF12-014F-4847-856B-E298C04C7CDF}"/>
    <cellStyle name="Normal 3" xfId="2" xr:uid="{127F5306-FD2F-49EC-BBE6-6F22F6FDA297}"/>
    <cellStyle name="Normal 3 2" xfId="74" xr:uid="{B6DFAA24-984E-463C-A1D1-F32CC21C30AD}"/>
    <cellStyle name="Normal 30" xfId="100" xr:uid="{E393F660-C4A1-49FD-AFFA-5368A55BB67B}"/>
    <cellStyle name="Normal 31" xfId="101" xr:uid="{CA25F3E6-1F01-476B-8E47-B5A3300EEFAE}"/>
    <cellStyle name="Normal 32" xfId="102" xr:uid="{4F5D5E57-5D5F-4422-A5EF-80CFBA15C729}"/>
    <cellStyle name="Normal 33" xfId="103" xr:uid="{D82E5CD6-C024-488F-88F1-B1A12AA34E5F}"/>
    <cellStyle name="Normal 34" xfId="104" xr:uid="{F707FFD3-78D4-4C00-B800-E9D6D05F9CFA}"/>
    <cellStyle name="Normal 35" xfId="105" xr:uid="{B3D67D41-D28E-4207-9A9B-0DC51CFED1F7}"/>
    <cellStyle name="Normal 36" xfId="106" xr:uid="{E3220B29-FB8D-49A5-87F8-3BCD6CF3D0B7}"/>
    <cellStyle name="Normal 37" xfId="107" xr:uid="{9E5B4AE6-C7A4-4EF2-9DBB-F124F50B1BFA}"/>
    <cellStyle name="Normal 38" xfId="108" xr:uid="{17248500-647D-4371-A5CC-A8F1F18D383E}"/>
    <cellStyle name="Normal 39" xfId="109" xr:uid="{20921F97-D309-4A09-80CB-3B163D854DAD}"/>
    <cellStyle name="Normal 4" xfId="3" xr:uid="{7B21BE33-C262-4ED4-93D7-4BED3B20A176}"/>
    <cellStyle name="Normal 4 2" xfId="75" xr:uid="{B4D3056F-5C0F-4F92-A846-EC7E4B118663}"/>
    <cellStyle name="Normal 40" xfId="110" xr:uid="{5E6F96D9-3D48-4EA0-81D5-FD215843C3E8}"/>
    <cellStyle name="Normal 41" xfId="111" xr:uid="{92D82BF2-D1FC-4539-A3FD-D937B8450BF5}"/>
    <cellStyle name="Normal 42" xfId="112" xr:uid="{63539B14-69B4-4BD0-BF89-B79C01ABCFD0}"/>
    <cellStyle name="Normal 43" xfId="113" xr:uid="{2509C85E-3122-42ED-AB1A-AD776C66080E}"/>
    <cellStyle name="Normal 44" xfId="114" xr:uid="{C4490DB4-AAD0-4D89-9B3D-58F5AE2C2404}"/>
    <cellStyle name="Normal 45" xfId="115" xr:uid="{49FEC6CE-0B34-4115-8BBB-0717920ACE49}"/>
    <cellStyle name="Normal 46" xfId="116" xr:uid="{DE8B4838-F92B-499A-8D95-B6C5237A2C60}"/>
    <cellStyle name="Normal 47" xfId="117" xr:uid="{A8D1D32E-A7CB-4C2E-9B27-95FCE627E9A0}"/>
    <cellStyle name="Normal 48" xfId="118" xr:uid="{BC614647-ABA8-4A57-879A-C7168A63A012}"/>
    <cellStyle name="Normal 49" xfId="119" xr:uid="{0F612B5A-EF06-4E41-B20A-0F3964A6BCD4}"/>
    <cellStyle name="Normal 5" xfId="4" xr:uid="{5A26FF50-65E2-4733-A8E6-E8829D110747}"/>
    <cellStyle name="Normal 5 2" xfId="76" xr:uid="{26D2CF5C-B3EE-4D43-9D6E-1D1491E0BA87}"/>
    <cellStyle name="Normal 50" xfId="120" xr:uid="{4985516E-289C-4164-91C3-944AE1FB93F5}"/>
    <cellStyle name="Normal 51" xfId="121" xr:uid="{3D8A2FD7-21EA-4ED3-8F39-EAFA7D102E96}"/>
    <cellStyle name="Normal 52" xfId="122" xr:uid="{D3FD74C0-F0A6-4538-8814-4FFC61CB96AE}"/>
    <cellStyle name="Normal 53" xfId="123" xr:uid="{4D4CE287-DF47-4CD5-9BB7-C3EE55536C0E}"/>
    <cellStyle name="Normal 54" xfId="124" xr:uid="{7EC29EAB-0F7A-4D1E-8E08-642A8C6F761C}"/>
    <cellStyle name="Normal 55" xfId="125" xr:uid="{4E37A7C8-CCD2-4DBA-8944-65BE9010EBE1}"/>
    <cellStyle name="Normal 56" xfId="126" xr:uid="{893E5E82-8FD3-463A-92DF-50F82C5CF346}"/>
    <cellStyle name="Normal 57" xfId="127" xr:uid="{7CD93256-54E5-4099-8EB8-62550F993719}"/>
    <cellStyle name="Normal 58" xfId="128" xr:uid="{3A56FDAB-CA3B-4378-B4A6-97181CADBDB7}"/>
    <cellStyle name="Normal 59" xfId="129" xr:uid="{0CDF913E-A421-40F6-B73D-4B90A2D29FA1}"/>
    <cellStyle name="Normal 6" xfId="5" xr:uid="{9640104D-357A-4A28-BBE2-C4844223EE91}"/>
    <cellStyle name="Normal 6 2" xfId="77" xr:uid="{59369931-5B67-43DA-B6C4-DCD85111C260}"/>
    <cellStyle name="Normal 60" xfId="130" xr:uid="{EE0FED79-10C2-44CC-87F2-5FF698547553}"/>
    <cellStyle name="Normal 7" xfId="7" xr:uid="{E4D20772-597B-4E4D-859E-12211AA2CBCC}"/>
    <cellStyle name="Normal 7 2" xfId="78" xr:uid="{3706E10C-8D8F-459C-8DB0-15C060F11564}"/>
    <cellStyle name="Normal 8" xfId="8" xr:uid="{861F56B7-D907-4C52-BA6E-1F72C4165C64}"/>
    <cellStyle name="Normal 8 2" xfId="79" xr:uid="{0D7DFE5C-3276-4E43-9B94-2C763E1B4F33}"/>
    <cellStyle name="Normal 9" xfId="9" xr:uid="{F9A3CFB5-141F-44F3-80BB-126A3FB5755B}"/>
    <cellStyle name="Normal 9 2" xfId="80" xr:uid="{1B46F0E9-69F6-4048-B1EC-15077D892B7F}"/>
    <cellStyle name="Note" xfId="43" builtinId="10" customBuiltin="1"/>
    <cellStyle name="Output" xfId="38" builtinId="21" customBuiltin="1"/>
    <cellStyle name="Title" xfId="29" builtinId="15" customBuiltin="1"/>
    <cellStyle name="Total" xfId="45" builtinId="25" customBuiltin="1"/>
    <cellStyle name="Warning Text" xfId="42" builtinId="11" customBuiltin="1"/>
  </cellStyles>
  <dxfs count="12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2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C6F8-B1EE-476F-A15D-C3A1EF63C06E}">
  <dimension ref="A1:Y589"/>
  <sheetViews>
    <sheetView tabSelected="1" workbookViewId="0">
      <selection activeCell="Q1" sqref="A1:Q4"/>
    </sheetView>
  </sheetViews>
  <sheetFormatPr defaultRowHeight="13.2" x14ac:dyDescent="0.25"/>
  <cols>
    <col min="1" max="1" width="7.109375" style="3" customWidth="1"/>
    <col min="2" max="2" width="9.33203125" style="3" bestFit="1" customWidth="1"/>
    <col min="3" max="3" width="9.88671875" style="7" bestFit="1" customWidth="1"/>
    <col min="4" max="4" width="7.6640625" style="3" customWidth="1"/>
    <col min="5" max="5" width="11.33203125" style="1" bestFit="1" customWidth="1"/>
    <col min="6" max="6" width="14.44140625" style="3" customWidth="1"/>
    <col min="7" max="7" width="14.33203125" style="1" customWidth="1"/>
    <col min="8" max="9" width="16.5546875" style="2" customWidth="1"/>
    <col min="10" max="10" width="12.6640625" style="1" customWidth="1"/>
    <col min="11" max="11" width="11" style="3" customWidth="1"/>
    <col min="12" max="12" width="16.5546875" style="3" customWidth="1"/>
    <col min="13" max="13" width="14.6640625" style="1" customWidth="1"/>
    <col min="14" max="14" width="11.33203125" style="1" customWidth="1"/>
    <col min="15" max="15" width="10.6640625" style="1" customWidth="1"/>
    <col min="16" max="16" width="41.109375" style="1" bestFit="1" customWidth="1"/>
    <col min="17" max="18" width="16.5546875" style="2" customWidth="1"/>
    <col min="19" max="20" width="16.5546875" style="3" customWidth="1"/>
    <col min="21" max="21" width="16.109375" style="3" bestFit="1" customWidth="1"/>
    <col min="22" max="25" width="16.5546875" style="3" customWidth="1"/>
  </cols>
  <sheetData>
    <row r="1" spans="1:25" ht="24" x14ac:dyDescent="0.25">
      <c r="A1" s="4" t="s">
        <v>98</v>
      </c>
      <c r="B1" s="4" t="s">
        <v>99</v>
      </c>
      <c r="C1" s="4" t="s">
        <v>100</v>
      </c>
      <c r="D1" s="4" t="s">
        <v>101</v>
      </c>
      <c r="E1" s="5" t="s">
        <v>102</v>
      </c>
      <c r="F1" s="4" t="s">
        <v>106</v>
      </c>
      <c r="G1" s="4" t="s">
        <v>107</v>
      </c>
      <c r="H1" s="6" t="s">
        <v>108</v>
      </c>
      <c r="I1" s="6" t="s">
        <v>109</v>
      </c>
      <c r="J1" s="5" t="s">
        <v>110</v>
      </c>
      <c r="K1" s="5" t="s">
        <v>103</v>
      </c>
      <c r="L1" s="5" t="s">
        <v>104</v>
      </c>
      <c r="M1" s="4" t="s">
        <v>105</v>
      </c>
      <c r="N1" s="4" t="s">
        <v>111</v>
      </c>
      <c r="O1" s="4" t="s">
        <v>112</v>
      </c>
      <c r="P1" s="4" t="s">
        <v>113</v>
      </c>
      <c r="Q1" s="17" t="s">
        <v>114</v>
      </c>
      <c r="R1" s="17" t="s">
        <v>115</v>
      </c>
      <c r="S1" s="17" t="s">
        <v>116</v>
      </c>
      <c r="T1" s="17" t="s">
        <v>117</v>
      </c>
      <c r="U1" s="17" t="s">
        <v>122</v>
      </c>
      <c r="V1" s="17" t="s">
        <v>118</v>
      </c>
      <c r="W1" s="17" t="s">
        <v>120</v>
      </c>
      <c r="X1" s="17" t="s">
        <v>121</v>
      </c>
      <c r="Y1" s="17" t="s">
        <v>119</v>
      </c>
    </row>
    <row r="2" spans="1:25" x14ac:dyDescent="0.25">
      <c r="A2" s="3">
        <v>1</v>
      </c>
      <c r="C2" s="7">
        <v>45280</v>
      </c>
      <c r="D2" s="3">
        <v>11</v>
      </c>
      <c r="E2" s="1">
        <v>194.81</v>
      </c>
      <c r="F2" s="3" t="s">
        <v>2</v>
      </c>
      <c r="G2" s="1">
        <v>528</v>
      </c>
      <c r="H2" s="2">
        <v>45280.580555555556</v>
      </c>
      <c r="I2" s="2">
        <v>45281.580555555556</v>
      </c>
      <c r="J2" s="1">
        <f t="shared" ref="J2:J65" si="0">(I2-H2)*24</f>
        <v>24</v>
      </c>
      <c r="K2" s="1">
        <v>22</v>
      </c>
      <c r="L2" s="1">
        <v>24</v>
      </c>
      <c r="M2" s="1">
        <v>0</v>
      </c>
      <c r="N2" s="3" t="s">
        <v>3</v>
      </c>
      <c r="O2" s="3" t="s">
        <v>1</v>
      </c>
      <c r="P2" s="8" t="s">
        <v>4</v>
      </c>
      <c r="Q2" s="2">
        <v>45280.738194444442</v>
      </c>
      <c r="R2" s="2">
        <v>45280.980555555558</v>
      </c>
      <c r="S2" s="1"/>
      <c r="T2" s="1" t="s">
        <v>87</v>
      </c>
      <c r="U2" s="1">
        <v>3547</v>
      </c>
      <c r="V2" s="1">
        <v>3015</v>
      </c>
      <c r="W2" s="1">
        <v>31</v>
      </c>
      <c r="X2" s="1"/>
      <c r="Y2" s="1">
        <v>22</v>
      </c>
    </row>
    <row r="3" spans="1:25" x14ac:dyDescent="0.25">
      <c r="A3" s="3">
        <v>2</v>
      </c>
      <c r="C3" s="7">
        <v>45293</v>
      </c>
      <c r="D3" s="3">
        <v>15</v>
      </c>
      <c r="E3" s="1">
        <v>202.01</v>
      </c>
      <c r="F3" s="3" t="s">
        <v>2</v>
      </c>
      <c r="G3" s="1">
        <v>552</v>
      </c>
      <c r="H3" s="2">
        <v>45281.834236111099</v>
      </c>
      <c r="I3" s="2">
        <v>45282.549189814803</v>
      </c>
      <c r="J3" s="1">
        <f t="shared" si="0"/>
        <v>17.15888888889458</v>
      </c>
      <c r="K3" s="1">
        <v>32.169915171911882</v>
      </c>
      <c r="L3" s="1">
        <v>24</v>
      </c>
      <c r="M3" s="1">
        <v>0</v>
      </c>
      <c r="N3" s="3" t="s">
        <v>3</v>
      </c>
      <c r="O3" s="3" t="s">
        <v>1</v>
      </c>
      <c r="P3" s="8" t="s">
        <v>4</v>
      </c>
      <c r="Q3" s="2">
        <v>45293.426388888889</v>
      </c>
      <c r="R3" s="2">
        <v>45294.083333333336</v>
      </c>
      <c r="S3" s="1"/>
      <c r="T3" s="1" t="s">
        <v>87</v>
      </c>
      <c r="U3" s="1">
        <v>13633</v>
      </c>
      <c r="V3" s="1">
        <v>10833.699999999997</v>
      </c>
      <c r="W3" s="1">
        <v>114.19999999999997</v>
      </c>
      <c r="X3" s="1">
        <v>87.900000000000034</v>
      </c>
      <c r="Y3" s="1">
        <v>23</v>
      </c>
    </row>
    <row r="4" spans="1:25" x14ac:dyDescent="0.25">
      <c r="A4" s="3">
        <v>3</v>
      </c>
      <c r="C4" s="7">
        <v>45296</v>
      </c>
      <c r="D4" s="3">
        <v>19</v>
      </c>
      <c r="E4" s="1">
        <v>209.21</v>
      </c>
      <c r="F4" s="3" t="s">
        <v>2</v>
      </c>
      <c r="G4" s="1">
        <v>504</v>
      </c>
      <c r="H4" s="2">
        <v>45296.325590277796</v>
      </c>
      <c r="I4" s="2">
        <v>45296.825671296298</v>
      </c>
      <c r="J4" s="1">
        <f t="shared" si="0"/>
        <v>12.001944444025867</v>
      </c>
      <c r="K4" s="1">
        <v>41.99319554848239</v>
      </c>
      <c r="L4" s="1">
        <v>24</v>
      </c>
      <c r="M4" s="1">
        <v>0</v>
      </c>
      <c r="N4" s="3" t="s">
        <v>3</v>
      </c>
      <c r="O4" s="3" t="s">
        <v>1</v>
      </c>
      <c r="P4" s="8" t="s">
        <v>4</v>
      </c>
      <c r="Q4" s="2">
        <v>45296.864583333336</v>
      </c>
      <c r="R4" s="2">
        <v>45297.620833333334</v>
      </c>
      <c r="S4" s="1"/>
      <c r="T4" s="1" t="s">
        <v>87</v>
      </c>
      <c r="U4" s="1">
        <v>12810</v>
      </c>
      <c r="V4" s="1">
        <v>10273.899999999998</v>
      </c>
      <c r="W4" s="1">
        <v>117.80000000000001</v>
      </c>
      <c r="X4" s="1">
        <v>324.59999999999997</v>
      </c>
      <c r="Y4" s="1">
        <v>21</v>
      </c>
    </row>
    <row r="5" spans="1:25" x14ac:dyDescent="0.25">
      <c r="A5" s="3">
        <v>4</v>
      </c>
      <c r="C5" s="7">
        <v>45299</v>
      </c>
      <c r="D5" s="3">
        <v>23</v>
      </c>
      <c r="E5" s="1">
        <v>216.41</v>
      </c>
      <c r="F5" s="3" t="s">
        <v>2</v>
      </c>
      <c r="G5" s="1">
        <v>552</v>
      </c>
      <c r="H5" s="2">
        <v>45299.770833333336</v>
      </c>
      <c r="I5" s="2">
        <v>45300.104166666664</v>
      </c>
      <c r="J5" s="1">
        <f t="shared" si="0"/>
        <v>7.9999999998835847</v>
      </c>
      <c r="K5" s="1">
        <v>69.000000001004082</v>
      </c>
      <c r="L5" s="1">
        <v>24</v>
      </c>
      <c r="M5" s="1">
        <v>0</v>
      </c>
      <c r="N5" s="3" t="s">
        <v>3</v>
      </c>
      <c r="O5" s="3" t="s">
        <v>1</v>
      </c>
      <c r="P5" s="8" t="s">
        <v>4</v>
      </c>
      <c r="Q5" s="2">
        <v>45300.150694444441</v>
      </c>
      <c r="R5" s="2">
        <v>45301.041666666664</v>
      </c>
      <c r="S5" s="1"/>
      <c r="T5" s="1" t="s">
        <v>87</v>
      </c>
      <c r="U5" s="1">
        <v>9578</v>
      </c>
      <c r="V5" s="1">
        <v>7046.6000000000031</v>
      </c>
      <c r="W5" s="1">
        <v>86.2</v>
      </c>
      <c r="X5" s="1">
        <v>206.6</v>
      </c>
      <c r="Y5" s="1">
        <v>23</v>
      </c>
    </row>
    <row r="6" spans="1:25" x14ac:dyDescent="0.25">
      <c r="A6" s="3">
        <v>5</v>
      </c>
      <c r="C6" s="7">
        <v>45301</v>
      </c>
      <c r="D6" s="3">
        <v>27</v>
      </c>
      <c r="E6" s="1">
        <v>223.61</v>
      </c>
      <c r="F6" s="3" t="s">
        <v>2</v>
      </c>
      <c r="G6" s="1">
        <v>451.5</v>
      </c>
      <c r="H6" s="2">
        <v>45301.802083333336</v>
      </c>
      <c r="I6" s="2">
        <v>45302.114583333336</v>
      </c>
      <c r="J6" s="1">
        <f t="shared" si="0"/>
        <v>7.5</v>
      </c>
      <c r="K6" s="1">
        <v>60.2</v>
      </c>
      <c r="L6" s="1">
        <v>24</v>
      </c>
      <c r="M6" s="1">
        <v>3</v>
      </c>
      <c r="N6" s="3" t="s">
        <v>5</v>
      </c>
      <c r="O6" s="3" t="s">
        <v>1</v>
      </c>
      <c r="P6" s="8"/>
      <c r="Q6" s="2">
        <v>45302.198611111111</v>
      </c>
      <c r="R6" s="2">
        <v>45302.613194444442</v>
      </c>
      <c r="S6" s="1"/>
      <c r="T6" s="1" t="s">
        <v>87</v>
      </c>
      <c r="U6" s="1">
        <v>9944</v>
      </c>
      <c r="V6" s="1">
        <v>8661.7999999999993</v>
      </c>
      <c r="W6" s="1">
        <v>107.4</v>
      </c>
      <c r="X6" s="1">
        <v>0</v>
      </c>
      <c r="Y6" s="1">
        <v>19</v>
      </c>
    </row>
    <row r="7" spans="1:25" x14ac:dyDescent="0.25">
      <c r="A7" s="3">
        <v>6</v>
      </c>
      <c r="C7" s="7">
        <v>45303</v>
      </c>
      <c r="D7" s="3">
        <v>31</v>
      </c>
      <c r="E7" s="1">
        <v>230.81</v>
      </c>
      <c r="F7" s="3" t="s">
        <v>2</v>
      </c>
      <c r="G7" s="1">
        <v>576</v>
      </c>
      <c r="H7" s="2">
        <v>45303.041666666664</v>
      </c>
      <c r="I7" s="2">
        <v>45303.375</v>
      </c>
      <c r="J7" s="1">
        <f t="shared" si="0"/>
        <v>8.0000000000582077</v>
      </c>
      <c r="K7" s="1">
        <v>71.999999999476131</v>
      </c>
      <c r="L7" s="1">
        <v>24</v>
      </c>
      <c r="M7" s="1">
        <v>3</v>
      </c>
      <c r="N7" s="3" t="s">
        <v>5</v>
      </c>
      <c r="O7" s="3" t="s">
        <v>1</v>
      </c>
      <c r="P7" s="8"/>
      <c r="Q7" s="2">
        <v>45303.45208333333</v>
      </c>
      <c r="R7" s="2">
        <v>45303.737314814818</v>
      </c>
      <c r="S7" s="1"/>
      <c r="T7" s="1" t="s">
        <v>87</v>
      </c>
      <c r="U7" s="1">
        <v>8153</v>
      </c>
      <c r="V7" s="1">
        <v>6465.4</v>
      </c>
      <c r="W7" s="1">
        <v>75.40000000000002</v>
      </c>
      <c r="X7" s="1">
        <v>0</v>
      </c>
      <c r="Y7" s="1">
        <v>24</v>
      </c>
    </row>
    <row r="8" spans="1:25" x14ac:dyDescent="0.25">
      <c r="A8" s="3">
        <v>7</v>
      </c>
      <c r="C8" s="7">
        <v>45304</v>
      </c>
      <c r="D8" s="3">
        <v>35</v>
      </c>
      <c r="E8" s="1">
        <v>238.01</v>
      </c>
      <c r="F8" s="3" t="s">
        <v>2</v>
      </c>
      <c r="G8" s="1">
        <v>408</v>
      </c>
      <c r="H8" s="2">
        <v>45304.166666666664</v>
      </c>
      <c r="I8" s="2">
        <v>45304.5625</v>
      </c>
      <c r="J8" s="1">
        <f t="shared" si="0"/>
        <v>9.5000000000582077</v>
      </c>
      <c r="K8" s="1">
        <v>42.947368420789488</v>
      </c>
      <c r="L8" s="1">
        <v>24</v>
      </c>
      <c r="M8" s="1">
        <v>7</v>
      </c>
      <c r="N8" s="3" t="s">
        <v>3</v>
      </c>
      <c r="O8" s="3" t="s">
        <v>1</v>
      </c>
      <c r="P8" s="8" t="s">
        <v>6</v>
      </c>
      <c r="Q8" s="2">
        <v>45304.592511574076</v>
      </c>
      <c r="R8" s="2">
        <v>45304.851759259262</v>
      </c>
      <c r="S8" s="1"/>
      <c r="T8" s="1" t="s">
        <v>87</v>
      </c>
      <c r="U8" s="1">
        <v>10811</v>
      </c>
      <c r="V8" s="1">
        <v>7306.2000000000007</v>
      </c>
      <c r="W8" s="1">
        <v>76.000000000000028</v>
      </c>
      <c r="X8" s="1">
        <v>12.932939999999999</v>
      </c>
      <c r="Y8" s="1">
        <v>17</v>
      </c>
    </row>
    <row r="9" spans="1:25" x14ac:dyDescent="0.25">
      <c r="A9" s="3">
        <v>8</v>
      </c>
      <c r="C9" s="7">
        <v>45305</v>
      </c>
      <c r="D9" s="3">
        <v>37</v>
      </c>
      <c r="E9" s="1">
        <v>241.61</v>
      </c>
      <c r="F9" s="3" t="s">
        <v>2</v>
      </c>
      <c r="G9" s="1">
        <v>480</v>
      </c>
      <c r="H9" s="2">
        <v>45305.541666666664</v>
      </c>
      <c r="I9" s="2">
        <v>45305.854166666664</v>
      </c>
      <c r="J9" s="1">
        <f t="shared" si="0"/>
        <v>7.5</v>
      </c>
      <c r="K9" s="1">
        <v>64</v>
      </c>
      <c r="L9" s="1">
        <v>24</v>
      </c>
      <c r="M9" s="1">
        <v>7</v>
      </c>
      <c r="N9" s="3" t="s">
        <v>3</v>
      </c>
      <c r="O9" s="3" t="s">
        <v>1</v>
      </c>
      <c r="P9" s="8" t="s">
        <v>6</v>
      </c>
      <c r="Q9" s="2">
        <v>45306.278506944444</v>
      </c>
      <c r="R9" s="2">
        <v>45306.63554398148</v>
      </c>
      <c r="S9" s="1"/>
      <c r="T9" s="1" t="s">
        <v>87</v>
      </c>
      <c r="U9" s="1">
        <v>11122</v>
      </c>
      <c r="V9" s="1">
        <v>9150.6</v>
      </c>
      <c r="W9" s="1">
        <v>93.999999999999986</v>
      </c>
      <c r="X9" s="1">
        <v>0</v>
      </c>
      <c r="Y9" s="1">
        <v>20</v>
      </c>
    </row>
    <row r="10" spans="1:25" x14ac:dyDescent="0.25">
      <c r="A10" s="3">
        <v>9</v>
      </c>
      <c r="C10" s="7">
        <v>45307</v>
      </c>
      <c r="D10" s="3">
        <v>41</v>
      </c>
      <c r="E10" s="1">
        <v>248.81</v>
      </c>
      <c r="F10" s="3" t="s">
        <v>2</v>
      </c>
      <c r="G10" s="1">
        <v>432</v>
      </c>
      <c r="H10" s="2">
        <v>45307.652777777781</v>
      </c>
      <c r="I10" s="2">
        <v>45307.986111111109</v>
      </c>
      <c r="J10" s="1">
        <f t="shared" si="0"/>
        <v>7.9999999998835847</v>
      </c>
      <c r="K10" s="1">
        <v>54.000000000785803</v>
      </c>
      <c r="L10" s="1">
        <v>24</v>
      </c>
      <c r="M10" s="1">
        <v>0</v>
      </c>
      <c r="N10" s="3" t="s">
        <v>5</v>
      </c>
      <c r="O10" s="3" t="s">
        <v>1</v>
      </c>
      <c r="P10" s="8"/>
      <c r="Q10" s="2">
        <v>45308.175497685188</v>
      </c>
      <c r="R10" s="2">
        <v>45308.451412037037</v>
      </c>
      <c r="S10" s="1"/>
      <c r="T10" s="1" t="s">
        <v>87</v>
      </c>
      <c r="U10" s="1">
        <v>7317</v>
      </c>
      <c r="V10" s="1">
        <v>6362.0999999999985</v>
      </c>
      <c r="W10" s="1">
        <v>718.0999999999998</v>
      </c>
      <c r="X10" s="1">
        <v>0</v>
      </c>
      <c r="Y10" s="1">
        <v>18</v>
      </c>
    </row>
    <row r="11" spans="1:25" x14ac:dyDescent="0.25">
      <c r="A11" s="3">
        <v>10.1</v>
      </c>
      <c r="B11" s="3">
        <v>1</v>
      </c>
      <c r="C11" s="7">
        <v>45309</v>
      </c>
      <c r="D11" s="3">
        <v>45</v>
      </c>
      <c r="E11" s="1">
        <v>256.01</v>
      </c>
      <c r="F11" s="3" t="s">
        <v>2</v>
      </c>
      <c r="G11" s="1">
        <v>216</v>
      </c>
      <c r="H11" s="2">
        <v>45309.333333333336</v>
      </c>
      <c r="I11" s="2">
        <v>45309.75</v>
      </c>
      <c r="J11" s="1">
        <f t="shared" si="0"/>
        <v>9.9999999999417923</v>
      </c>
      <c r="K11" s="1">
        <v>21.600000000125728</v>
      </c>
      <c r="L11" s="1">
        <v>24</v>
      </c>
      <c r="M11" s="1">
        <v>0</v>
      </c>
      <c r="N11" s="3" t="s">
        <v>5</v>
      </c>
      <c r="O11" s="3" t="s">
        <v>1</v>
      </c>
      <c r="P11" s="8"/>
      <c r="Q11" s="2">
        <v>45309.901724537034</v>
      </c>
      <c r="R11" s="2">
        <v>45310.068541666667</v>
      </c>
      <c r="S11" s="1"/>
      <c r="T11" s="1" t="s">
        <v>87</v>
      </c>
      <c r="U11" s="1">
        <v>3067</v>
      </c>
      <c r="V11" s="1">
        <v>2297.0999999999995</v>
      </c>
      <c r="W11" s="1">
        <v>676.8</v>
      </c>
      <c r="X11" s="1">
        <v>0</v>
      </c>
      <c r="Y11" s="1">
        <v>9</v>
      </c>
    </row>
    <row r="12" spans="1:25" x14ac:dyDescent="0.25">
      <c r="A12" s="3">
        <v>10.199999999999999</v>
      </c>
      <c r="B12" s="3">
        <v>2</v>
      </c>
      <c r="C12" s="7">
        <v>45310</v>
      </c>
      <c r="D12" s="3">
        <v>45</v>
      </c>
      <c r="E12" s="1">
        <v>256.01</v>
      </c>
      <c r="F12" s="3" t="s">
        <v>2</v>
      </c>
      <c r="G12" s="1">
        <v>240</v>
      </c>
      <c r="H12" s="2">
        <v>45310.201388888891</v>
      </c>
      <c r="I12" s="2">
        <v>45310.333333333336</v>
      </c>
      <c r="J12" s="1">
        <f t="shared" si="0"/>
        <v>3.1666666666860692</v>
      </c>
      <c r="K12" s="1">
        <v>75.789473683746152</v>
      </c>
      <c r="L12" s="1">
        <v>24</v>
      </c>
      <c r="M12" s="1">
        <v>0</v>
      </c>
      <c r="N12" s="3" t="s">
        <v>5</v>
      </c>
      <c r="O12" s="3" t="s">
        <v>1</v>
      </c>
      <c r="P12" s="8"/>
      <c r="Q12" s="2">
        <v>45310.372430555559</v>
      </c>
      <c r="R12" s="2">
        <v>45310.486238425925</v>
      </c>
      <c r="S12" s="1"/>
      <c r="T12" s="1" t="s">
        <v>87</v>
      </c>
      <c r="U12" s="1">
        <v>3414</v>
      </c>
      <c r="V12" s="1">
        <v>3041.7999999999993</v>
      </c>
      <c r="W12" s="1">
        <v>30.4</v>
      </c>
      <c r="X12" s="1">
        <v>89.300000000000011</v>
      </c>
      <c r="Y12" s="1">
        <v>9</v>
      </c>
    </row>
    <row r="13" spans="1:25" x14ac:dyDescent="0.25">
      <c r="A13" s="3">
        <v>11.1</v>
      </c>
      <c r="B13" s="3">
        <v>1</v>
      </c>
      <c r="C13" s="7">
        <v>45320</v>
      </c>
      <c r="D13" s="3">
        <v>46</v>
      </c>
      <c r="E13" s="1">
        <v>257.81</v>
      </c>
      <c r="F13" s="3" t="s">
        <v>2</v>
      </c>
      <c r="G13" s="1">
        <v>283</v>
      </c>
      <c r="H13" s="2">
        <v>45318.458333333336</v>
      </c>
      <c r="I13" s="2">
        <v>45320.291666666664</v>
      </c>
      <c r="J13" s="1">
        <f t="shared" si="0"/>
        <v>43.999999999883585</v>
      </c>
      <c r="K13" s="1">
        <v>17.151515151515152</v>
      </c>
      <c r="L13" s="1">
        <v>24</v>
      </c>
      <c r="M13" s="1">
        <v>1.8</v>
      </c>
      <c r="N13" s="3" t="s">
        <v>5</v>
      </c>
      <c r="O13" s="3" t="s">
        <v>1</v>
      </c>
      <c r="P13" s="8"/>
      <c r="Q13" s="2">
        <v>45320.365393518521</v>
      </c>
      <c r="R13" s="2">
        <v>45320.644236111111</v>
      </c>
      <c r="S13" s="1"/>
      <c r="T13" s="1" t="s">
        <v>87</v>
      </c>
      <c r="U13" s="1">
        <v>7450</v>
      </c>
      <c r="V13" s="1">
        <v>6041.7</v>
      </c>
      <c r="W13" s="1">
        <v>62.4</v>
      </c>
      <c r="X13" s="1">
        <v>80.000000000000014</v>
      </c>
      <c r="Y13" s="1">
        <v>12</v>
      </c>
    </row>
    <row r="14" spans="1:25" x14ac:dyDescent="0.25">
      <c r="A14" s="3">
        <v>11.2</v>
      </c>
      <c r="B14" s="3">
        <v>2</v>
      </c>
      <c r="C14" s="7">
        <v>45322</v>
      </c>
      <c r="D14" s="3">
        <v>46</v>
      </c>
      <c r="E14" s="1">
        <v>257.81</v>
      </c>
      <c r="F14" s="3" t="s">
        <v>2</v>
      </c>
      <c r="G14" s="1">
        <v>264</v>
      </c>
      <c r="H14" s="2">
        <v>45321.291666666664</v>
      </c>
      <c r="I14" s="2">
        <v>45321.479166666664</v>
      </c>
      <c r="J14" s="1">
        <f t="shared" si="0"/>
        <v>4.5</v>
      </c>
      <c r="K14" s="1">
        <v>58.666666666666664</v>
      </c>
      <c r="L14" s="1">
        <v>24</v>
      </c>
      <c r="M14" s="1">
        <v>1.8</v>
      </c>
      <c r="N14" s="3" t="s">
        <v>5</v>
      </c>
      <c r="O14" s="3" t="s">
        <v>1</v>
      </c>
      <c r="P14" s="8"/>
      <c r="Q14" s="2">
        <v>45322.301400462966</v>
      </c>
      <c r="R14" s="2">
        <v>45322.502199074072</v>
      </c>
      <c r="S14" s="1"/>
      <c r="T14" s="1" t="s">
        <v>87</v>
      </c>
      <c r="U14" s="1">
        <v>6928</v>
      </c>
      <c r="V14" s="1">
        <v>5803.2999999999993</v>
      </c>
      <c r="W14" s="1">
        <v>62.499999999999993</v>
      </c>
      <c r="X14" s="1">
        <v>162.9</v>
      </c>
      <c r="Y14" s="1">
        <v>23</v>
      </c>
    </row>
    <row r="15" spans="1:25" x14ac:dyDescent="0.25">
      <c r="A15" s="3">
        <v>12</v>
      </c>
      <c r="C15" s="7">
        <v>45324</v>
      </c>
      <c r="D15" s="3">
        <v>49</v>
      </c>
      <c r="E15" s="1">
        <v>263.20999999999998</v>
      </c>
      <c r="F15" s="3" t="s">
        <v>2</v>
      </c>
      <c r="G15" s="1">
        <v>552</v>
      </c>
      <c r="H15" s="2">
        <v>45323.666666666664</v>
      </c>
      <c r="I15" s="2">
        <v>45324.333333333336</v>
      </c>
      <c r="J15" s="1">
        <f t="shared" si="0"/>
        <v>16.000000000116415</v>
      </c>
      <c r="K15" s="1">
        <v>34.499999999748979</v>
      </c>
      <c r="L15" s="1">
        <v>24</v>
      </c>
      <c r="M15" s="1">
        <v>0</v>
      </c>
      <c r="N15" s="3" t="s">
        <v>5</v>
      </c>
      <c r="O15" s="3" t="s">
        <v>1</v>
      </c>
      <c r="P15" s="8"/>
      <c r="Q15" s="2">
        <v>45324.438599537039</v>
      </c>
      <c r="R15" s="2">
        <v>45324.836111111108</v>
      </c>
      <c r="S15" s="1"/>
      <c r="T15" s="1" t="s">
        <v>87</v>
      </c>
      <c r="U15" s="1">
        <v>8042</v>
      </c>
      <c r="V15" s="1">
        <v>6502.4</v>
      </c>
      <c r="W15" s="1">
        <v>65</v>
      </c>
      <c r="X15" s="1">
        <v>104.99999999999999</v>
      </c>
      <c r="Y15" s="1">
        <v>23</v>
      </c>
    </row>
    <row r="16" spans="1:25" x14ac:dyDescent="0.25">
      <c r="A16" s="3">
        <v>13</v>
      </c>
      <c r="C16" s="7">
        <v>45327</v>
      </c>
      <c r="D16" s="3">
        <v>53</v>
      </c>
      <c r="E16" s="1">
        <v>270.41000000000003</v>
      </c>
      <c r="F16" s="3" t="s">
        <v>2</v>
      </c>
      <c r="G16" s="1">
        <v>528</v>
      </c>
      <c r="H16" s="2">
        <v>45325.8125</v>
      </c>
      <c r="I16" s="2">
        <v>45326.8125</v>
      </c>
      <c r="J16" s="1">
        <f t="shared" si="0"/>
        <v>24</v>
      </c>
      <c r="K16" s="1">
        <v>22</v>
      </c>
      <c r="L16" s="1">
        <v>24</v>
      </c>
      <c r="M16" s="1">
        <v>0</v>
      </c>
      <c r="N16" s="3" t="s">
        <v>5</v>
      </c>
      <c r="O16" s="3" t="s">
        <v>1</v>
      </c>
      <c r="P16" s="8"/>
      <c r="Q16" s="2">
        <v>45327.324814814812</v>
      </c>
      <c r="R16" s="2">
        <v>45327.618206018517</v>
      </c>
      <c r="S16" s="1"/>
      <c r="T16" s="1" t="s">
        <v>87</v>
      </c>
      <c r="U16" s="1">
        <v>9437</v>
      </c>
      <c r="V16" s="1">
        <v>6207.9000000000015</v>
      </c>
      <c r="W16" s="1">
        <v>69.800000000000026</v>
      </c>
      <c r="X16" s="1">
        <v>318.99999999999994</v>
      </c>
      <c r="Y16" s="1">
        <v>24</v>
      </c>
    </row>
    <row r="17" spans="1:25" x14ac:dyDescent="0.25">
      <c r="A17" s="3">
        <v>14</v>
      </c>
      <c r="C17" s="7">
        <v>45328</v>
      </c>
      <c r="D17" s="3">
        <v>57</v>
      </c>
      <c r="E17" s="1">
        <v>277.61</v>
      </c>
      <c r="F17" s="3" t="s">
        <v>2</v>
      </c>
      <c r="G17" s="1">
        <v>576</v>
      </c>
      <c r="H17" s="2">
        <v>45328.020833333336</v>
      </c>
      <c r="I17" s="2">
        <v>45328.416666666664</v>
      </c>
      <c r="J17" s="1">
        <f t="shared" si="0"/>
        <v>9.4999999998835847</v>
      </c>
      <c r="K17" s="1">
        <v>60.631578948111418</v>
      </c>
      <c r="L17" s="1">
        <v>24</v>
      </c>
      <c r="M17" s="1">
        <v>4</v>
      </c>
      <c r="N17" s="3" t="s">
        <v>3</v>
      </c>
      <c r="O17" s="3" t="s">
        <v>1</v>
      </c>
      <c r="P17" s="8" t="s">
        <v>7</v>
      </c>
      <c r="Q17" s="2">
        <v>45328.47383101852</v>
      </c>
      <c r="R17" s="2">
        <v>45328.957824074074</v>
      </c>
      <c r="S17" s="1"/>
      <c r="T17" s="1" t="s">
        <v>87</v>
      </c>
      <c r="U17" s="1">
        <v>14607</v>
      </c>
      <c r="V17" s="1">
        <v>10493.7</v>
      </c>
      <c r="W17" s="1">
        <v>119.8</v>
      </c>
      <c r="X17" s="1">
        <v>595.20000000000005</v>
      </c>
      <c r="Y17" s="1">
        <v>21</v>
      </c>
    </row>
    <row r="18" spans="1:25" x14ac:dyDescent="0.25">
      <c r="A18" s="3">
        <v>15</v>
      </c>
      <c r="C18" s="7">
        <v>45330</v>
      </c>
      <c r="D18" s="3">
        <v>61</v>
      </c>
      <c r="E18" s="1">
        <v>284.81</v>
      </c>
      <c r="F18" s="3" t="s">
        <v>2</v>
      </c>
      <c r="G18" s="1">
        <v>504</v>
      </c>
      <c r="H18" s="2">
        <v>45329.651388888888</v>
      </c>
      <c r="I18" s="2">
        <v>45329.930555555555</v>
      </c>
      <c r="J18" s="1">
        <f t="shared" si="0"/>
        <v>6.7000000000116415</v>
      </c>
      <c r="K18" s="1">
        <v>75.223880596884214</v>
      </c>
      <c r="L18" s="1">
        <v>24</v>
      </c>
      <c r="M18" s="1">
        <v>70</v>
      </c>
      <c r="N18" s="3" t="s">
        <v>3</v>
      </c>
      <c r="O18" s="3" t="s">
        <v>1</v>
      </c>
      <c r="P18" s="8" t="s">
        <v>8</v>
      </c>
      <c r="Q18" s="2">
        <v>45329.997083333335</v>
      </c>
      <c r="R18" s="2">
        <v>45330.35050925926</v>
      </c>
      <c r="S18" s="1"/>
      <c r="T18" s="1" t="s">
        <v>87</v>
      </c>
      <c r="U18" s="1">
        <v>19089</v>
      </c>
      <c r="V18" s="1">
        <v>15230.599999999999</v>
      </c>
      <c r="W18" s="1">
        <v>159.19999999999999</v>
      </c>
      <c r="X18" s="1">
        <v>605.79999999999995</v>
      </c>
      <c r="Y18" s="1">
        <v>15</v>
      </c>
    </row>
    <row r="19" spans="1:25" x14ac:dyDescent="0.25">
      <c r="A19" s="3">
        <v>16.100000000000001</v>
      </c>
      <c r="B19" s="3">
        <v>1</v>
      </c>
      <c r="C19" s="7">
        <v>45331</v>
      </c>
      <c r="D19" s="3">
        <v>63</v>
      </c>
      <c r="E19" s="1">
        <v>288.41000000000003</v>
      </c>
      <c r="F19" s="3" t="s">
        <v>2</v>
      </c>
      <c r="G19" s="1">
        <v>360</v>
      </c>
      <c r="H19" s="2">
        <v>45330.354166666664</v>
      </c>
      <c r="I19" s="2">
        <v>45330.951388888891</v>
      </c>
      <c r="J19" s="1">
        <f t="shared" si="0"/>
        <v>14.333333333430346</v>
      </c>
      <c r="K19" s="1">
        <v>25.116279069597446</v>
      </c>
      <c r="L19" s="1">
        <v>24</v>
      </c>
      <c r="M19" s="1">
        <v>50</v>
      </c>
      <c r="N19" s="3" t="s">
        <v>5</v>
      </c>
      <c r="O19" s="3" t="s">
        <v>1</v>
      </c>
      <c r="P19" s="8"/>
      <c r="Q19" s="2">
        <v>45331.023368055554</v>
      </c>
      <c r="R19" s="2">
        <v>45331.471388888887</v>
      </c>
      <c r="S19" s="1"/>
      <c r="T19" s="1" t="s">
        <v>87</v>
      </c>
      <c r="U19" s="1">
        <v>13789</v>
      </c>
      <c r="V19" s="1">
        <v>10824.8</v>
      </c>
      <c r="W19" s="1">
        <v>115</v>
      </c>
      <c r="X19" s="1">
        <v>474.60000000000014</v>
      </c>
      <c r="Y19" s="1">
        <v>15</v>
      </c>
    </row>
    <row r="20" spans="1:25" x14ac:dyDescent="0.25">
      <c r="A20" s="3">
        <v>16.2</v>
      </c>
      <c r="B20" s="3">
        <v>2</v>
      </c>
      <c r="C20" s="7">
        <v>45332</v>
      </c>
      <c r="D20" s="3">
        <v>63</v>
      </c>
      <c r="E20" s="1">
        <v>288.41000000000003</v>
      </c>
      <c r="F20" s="3" t="s">
        <v>2</v>
      </c>
      <c r="G20" s="1">
        <v>504</v>
      </c>
      <c r="H20" s="2">
        <v>45331.576388888891</v>
      </c>
      <c r="I20" s="2">
        <v>45331.833333333336</v>
      </c>
      <c r="J20" s="1">
        <f t="shared" si="0"/>
        <v>6.1666666666860692</v>
      </c>
      <c r="K20" s="1">
        <v>81.729729729472581</v>
      </c>
      <c r="L20" s="1">
        <v>24</v>
      </c>
      <c r="M20" s="1">
        <v>50</v>
      </c>
      <c r="N20" s="3" t="s">
        <v>5</v>
      </c>
      <c r="O20" s="3" t="s">
        <v>1</v>
      </c>
      <c r="P20" s="8"/>
      <c r="Q20" s="2">
        <v>45331.886770833335</v>
      </c>
      <c r="R20" s="2">
        <v>45332.02480324074</v>
      </c>
      <c r="S20" s="1"/>
      <c r="T20" s="1" t="s">
        <v>87</v>
      </c>
      <c r="U20" s="1">
        <v>3937</v>
      </c>
      <c r="V20" s="1">
        <v>3045.3999999999996</v>
      </c>
      <c r="W20" s="1">
        <v>31</v>
      </c>
      <c r="X20" s="1">
        <v>145.30000000000001</v>
      </c>
      <c r="Y20" s="1">
        <v>6</v>
      </c>
    </row>
    <row r="21" spans="1:25" x14ac:dyDescent="0.25">
      <c r="A21" s="3">
        <v>17</v>
      </c>
      <c r="C21" s="7">
        <v>45332</v>
      </c>
      <c r="D21" s="3">
        <v>65</v>
      </c>
      <c r="E21" s="1">
        <v>292.01</v>
      </c>
      <c r="F21" s="3" t="s">
        <v>9</v>
      </c>
      <c r="G21" s="1">
        <v>108</v>
      </c>
      <c r="H21" s="2">
        <v>45332.208333333336</v>
      </c>
      <c r="I21" s="2">
        <v>45332.354166666664</v>
      </c>
      <c r="J21" s="1">
        <f t="shared" si="0"/>
        <v>3.4999999998835847</v>
      </c>
      <c r="K21" s="1">
        <v>30.857142858169212</v>
      </c>
      <c r="L21" s="1">
        <v>18</v>
      </c>
      <c r="M21" s="1">
        <v>0</v>
      </c>
      <c r="N21" s="3" t="s">
        <v>3</v>
      </c>
      <c r="O21" s="3" t="s">
        <v>1</v>
      </c>
      <c r="P21" s="8" t="s">
        <v>10</v>
      </c>
      <c r="Q21" s="2">
        <v>45332.394895833335</v>
      </c>
      <c r="R21" s="2">
        <v>45332.537939814814</v>
      </c>
      <c r="S21" s="1"/>
      <c r="T21" s="1" t="s">
        <v>87</v>
      </c>
      <c r="U21" s="1">
        <v>6856</v>
      </c>
      <c r="V21" s="1">
        <v>5043.0999999999995</v>
      </c>
      <c r="W21" s="1">
        <v>56.4</v>
      </c>
      <c r="X21" s="1">
        <v>209.89999999999998</v>
      </c>
      <c r="Y21" s="1">
        <v>6</v>
      </c>
    </row>
    <row r="22" spans="1:25" x14ac:dyDescent="0.25">
      <c r="A22" s="3">
        <v>18</v>
      </c>
      <c r="C22" s="7">
        <v>45334</v>
      </c>
      <c r="D22" s="3">
        <v>67</v>
      </c>
      <c r="E22" s="1">
        <v>295.61</v>
      </c>
      <c r="F22" s="3" t="s">
        <v>2</v>
      </c>
      <c r="G22" s="1">
        <v>240</v>
      </c>
      <c r="H22" s="2">
        <v>45332.770833333336</v>
      </c>
      <c r="I22" s="2">
        <v>45334.4375</v>
      </c>
      <c r="J22" s="1">
        <f t="shared" si="0"/>
        <v>39.999999999941792</v>
      </c>
      <c r="K22" s="1">
        <v>19.512195121951219</v>
      </c>
      <c r="L22" s="1">
        <v>24</v>
      </c>
      <c r="M22" s="1">
        <v>0</v>
      </c>
      <c r="N22" s="3" t="s">
        <v>3</v>
      </c>
      <c r="O22" s="3" t="s">
        <v>1</v>
      </c>
      <c r="P22" s="8" t="s">
        <v>7</v>
      </c>
      <c r="Q22" s="2">
        <v>45334.454016203701</v>
      </c>
      <c r="R22" s="2">
        <v>45334.506388888891</v>
      </c>
      <c r="S22" s="1"/>
      <c r="T22" s="1" t="s">
        <v>87</v>
      </c>
      <c r="U22" s="1">
        <v>1298</v>
      </c>
      <c r="V22" s="1">
        <v>1120.0000000000002</v>
      </c>
      <c r="W22" s="1">
        <v>11.199999999999998</v>
      </c>
      <c r="X22" s="1">
        <v>55.2</v>
      </c>
      <c r="Y22" s="1">
        <v>6</v>
      </c>
    </row>
    <row r="23" spans="1:25" x14ac:dyDescent="0.25">
      <c r="A23" s="3">
        <v>19</v>
      </c>
      <c r="C23" s="7">
        <v>45335</v>
      </c>
      <c r="D23" s="3">
        <v>71</v>
      </c>
      <c r="E23" s="1">
        <v>302.81</v>
      </c>
      <c r="F23" s="3" t="s">
        <v>2</v>
      </c>
      <c r="G23" s="1">
        <v>516</v>
      </c>
      <c r="H23" s="2">
        <v>45335.600694444445</v>
      </c>
      <c r="I23" s="2">
        <v>45335.999305555553</v>
      </c>
      <c r="J23" s="1">
        <f t="shared" si="0"/>
        <v>9.566666666592937</v>
      </c>
      <c r="K23" s="1">
        <v>53.937282230380845</v>
      </c>
      <c r="L23" s="1">
        <v>24</v>
      </c>
      <c r="M23" s="1">
        <v>0</v>
      </c>
      <c r="N23" s="3" t="s">
        <v>3</v>
      </c>
      <c r="O23" s="3" t="s">
        <v>1</v>
      </c>
      <c r="P23" s="8" t="s">
        <v>8</v>
      </c>
      <c r="Q23" s="2">
        <v>45336.031365740739</v>
      </c>
      <c r="R23" s="2">
        <v>45336.298611111109</v>
      </c>
      <c r="S23" s="1"/>
      <c r="T23" s="1" t="s">
        <v>87</v>
      </c>
      <c r="U23" s="1">
        <v>3595</v>
      </c>
      <c r="V23" s="1">
        <v>3100.7</v>
      </c>
      <c r="W23" s="1">
        <v>32.400000000000006</v>
      </c>
      <c r="X23" s="1">
        <v>42.6</v>
      </c>
      <c r="Y23" s="1">
        <v>22</v>
      </c>
    </row>
    <row r="24" spans="1:25" x14ac:dyDescent="0.25">
      <c r="A24" s="3">
        <v>20</v>
      </c>
      <c r="C24" s="7">
        <v>45336</v>
      </c>
      <c r="D24" s="3">
        <v>73</v>
      </c>
      <c r="E24" s="1">
        <v>306.41000000000003</v>
      </c>
      <c r="F24" s="3" t="s">
        <v>9</v>
      </c>
      <c r="G24" s="1">
        <v>108</v>
      </c>
      <c r="H24" s="2">
        <v>45336.645833333336</v>
      </c>
      <c r="I24" s="2">
        <v>45336.75</v>
      </c>
      <c r="J24" s="1">
        <f t="shared" si="0"/>
        <v>2.4999999999417923</v>
      </c>
      <c r="K24" s="1">
        <v>43.200000001005826</v>
      </c>
      <c r="L24" s="1">
        <v>18</v>
      </c>
      <c r="M24" s="1">
        <v>0</v>
      </c>
      <c r="N24" s="3" t="s">
        <v>5</v>
      </c>
      <c r="O24" s="3" t="s">
        <v>1</v>
      </c>
      <c r="P24" s="8"/>
      <c r="Q24" s="2">
        <v>45336.779166666667</v>
      </c>
      <c r="R24" s="2">
        <v>45336.798611111109</v>
      </c>
      <c r="S24" s="1"/>
      <c r="T24" s="1" t="s">
        <v>87</v>
      </c>
      <c r="U24" s="1">
        <v>218</v>
      </c>
      <c r="V24" s="1">
        <v>539.9</v>
      </c>
      <c r="W24" s="1">
        <v>5.4</v>
      </c>
      <c r="X24" s="1">
        <v>21.299999999999997</v>
      </c>
      <c r="Y24" s="1">
        <v>6</v>
      </c>
    </row>
    <row r="25" spans="1:25" x14ac:dyDescent="0.25">
      <c r="A25" s="3">
        <v>21</v>
      </c>
      <c r="C25" s="7">
        <v>45337</v>
      </c>
      <c r="D25" s="3">
        <v>75</v>
      </c>
      <c r="E25" s="1">
        <v>310.01</v>
      </c>
      <c r="F25" s="3" t="s">
        <v>2</v>
      </c>
      <c r="G25" s="1">
        <v>216</v>
      </c>
      <c r="H25" s="2">
        <v>45337.375</v>
      </c>
      <c r="I25" s="2">
        <v>45337.563194444447</v>
      </c>
      <c r="J25" s="1">
        <f t="shared" si="0"/>
        <v>4.5166666667209938</v>
      </c>
      <c r="K25" s="1">
        <v>47.822878228207067</v>
      </c>
      <c r="L25" s="1">
        <v>24</v>
      </c>
      <c r="M25" s="1">
        <v>0</v>
      </c>
      <c r="N25" s="3" t="s">
        <v>3</v>
      </c>
      <c r="O25" s="3" t="s">
        <v>1</v>
      </c>
      <c r="P25" s="8" t="s">
        <v>11</v>
      </c>
      <c r="Q25" s="2">
        <v>45337.573865740742</v>
      </c>
      <c r="R25" s="2">
        <v>45337.618136574078</v>
      </c>
      <c r="S25" s="1"/>
      <c r="T25" s="1" t="s">
        <v>87</v>
      </c>
      <c r="U25" s="1">
        <v>793</v>
      </c>
      <c r="V25" s="1">
        <v>721.10000000000025</v>
      </c>
      <c r="W25" s="1">
        <v>9.0000000000000018</v>
      </c>
      <c r="X25" s="1">
        <v>53.100000000000009</v>
      </c>
      <c r="Y25" s="1">
        <v>8</v>
      </c>
    </row>
    <row r="26" spans="1:25" x14ac:dyDescent="0.25">
      <c r="A26" s="3">
        <v>22</v>
      </c>
      <c r="C26" s="7">
        <v>45338</v>
      </c>
      <c r="D26" s="3">
        <v>77</v>
      </c>
      <c r="E26" s="1">
        <v>313.61</v>
      </c>
      <c r="F26" s="3" t="s">
        <v>2</v>
      </c>
      <c r="G26" s="1">
        <v>309</v>
      </c>
      <c r="H26" s="2">
        <v>45337.916666666664</v>
      </c>
      <c r="I26" s="2">
        <v>45338.104166666664</v>
      </c>
      <c r="J26" s="1">
        <f t="shared" si="0"/>
        <v>4.5</v>
      </c>
      <c r="K26" s="1">
        <v>68.666666666666671</v>
      </c>
      <c r="L26" s="1">
        <v>24</v>
      </c>
      <c r="M26" s="1">
        <v>0</v>
      </c>
      <c r="N26" s="3" t="s">
        <v>3</v>
      </c>
      <c r="O26" s="3" t="s">
        <v>1</v>
      </c>
      <c r="P26" s="8" t="s">
        <v>12</v>
      </c>
      <c r="Q26" s="2">
        <v>45338.129502314812</v>
      </c>
      <c r="R26" s="2">
        <v>45338.215879629628</v>
      </c>
      <c r="S26" s="1"/>
      <c r="T26" s="1" t="s">
        <v>87</v>
      </c>
      <c r="U26" s="1">
        <v>2913</v>
      </c>
      <c r="V26" s="1">
        <v>2163.1000000000004</v>
      </c>
      <c r="W26" s="1">
        <v>21.6</v>
      </c>
      <c r="X26" s="1">
        <v>21.4</v>
      </c>
      <c r="Y26" s="1">
        <v>14</v>
      </c>
    </row>
    <row r="27" spans="1:25" x14ac:dyDescent="0.25">
      <c r="A27" s="3">
        <v>23</v>
      </c>
      <c r="C27" s="7">
        <v>45338</v>
      </c>
      <c r="D27" s="3">
        <v>79</v>
      </c>
      <c r="E27" s="1">
        <v>317.20999999999998</v>
      </c>
      <c r="F27" s="3" t="s">
        <v>2</v>
      </c>
      <c r="G27" s="1">
        <v>576</v>
      </c>
      <c r="H27" s="2">
        <v>45338.489583333336</v>
      </c>
      <c r="I27" s="2">
        <v>45338.847222222219</v>
      </c>
      <c r="J27" s="1">
        <f t="shared" si="0"/>
        <v>8.5833333331975155</v>
      </c>
      <c r="K27" s="1">
        <v>67.106796117566716</v>
      </c>
      <c r="L27" s="1">
        <v>24</v>
      </c>
      <c r="M27" s="1">
        <v>0</v>
      </c>
      <c r="N27" s="3" t="s">
        <v>5</v>
      </c>
      <c r="O27" s="3" t="s">
        <v>1</v>
      </c>
      <c r="P27" s="8"/>
      <c r="Q27" s="2">
        <v>45338.84746527778</v>
      </c>
      <c r="R27" s="2">
        <v>45338.925312500003</v>
      </c>
      <c r="S27" s="1"/>
      <c r="T27" s="1" t="s">
        <v>87</v>
      </c>
      <c r="U27" s="1">
        <v>3749</v>
      </c>
      <c r="V27" s="1">
        <v>2521.3000000000011</v>
      </c>
      <c r="W27" s="1">
        <v>25.200000000000003</v>
      </c>
      <c r="X27" s="1">
        <v>63.900000000000006</v>
      </c>
      <c r="Y27" s="1">
        <v>24</v>
      </c>
    </row>
    <row r="28" spans="1:25" x14ac:dyDescent="0.25">
      <c r="A28" s="3">
        <v>24</v>
      </c>
      <c r="C28" s="7">
        <v>45339</v>
      </c>
      <c r="D28" s="3">
        <v>82</v>
      </c>
      <c r="E28" s="1">
        <v>322.61</v>
      </c>
      <c r="F28" s="3" t="s">
        <v>2</v>
      </c>
      <c r="G28" s="1">
        <v>576</v>
      </c>
      <c r="H28" s="2">
        <v>45339.342233796298</v>
      </c>
      <c r="I28" s="2">
        <v>45339.724456018499</v>
      </c>
      <c r="J28" s="1">
        <f t="shared" si="0"/>
        <v>9.1733333328156732</v>
      </c>
      <c r="K28" s="1">
        <v>62.790697677961944</v>
      </c>
      <c r="L28" s="1">
        <v>24</v>
      </c>
      <c r="M28" s="1">
        <v>0</v>
      </c>
      <c r="N28" s="3" t="s">
        <v>3</v>
      </c>
      <c r="O28" s="3" t="s">
        <v>1</v>
      </c>
      <c r="P28" s="8" t="s">
        <v>12</v>
      </c>
      <c r="Q28" s="2">
        <v>45339.7809375</v>
      </c>
      <c r="R28" s="2">
        <v>45339.83221064815</v>
      </c>
      <c r="S28" s="1"/>
      <c r="T28" s="1" t="s">
        <v>87</v>
      </c>
      <c r="U28" s="1">
        <v>1582</v>
      </c>
      <c r="V28" s="1">
        <v>1260.0999999999999</v>
      </c>
      <c r="W28" s="1">
        <v>12.599999999999998</v>
      </c>
      <c r="X28" s="1">
        <v>68.697031666666675</v>
      </c>
      <c r="Y28" s="1">
        <v>24</v>
      </c>
    </row>
    <row r="29" spans="1:25" x14ac:dyDescent="0.25">
      <c r="A29" s="3">
        <v>25</v>
      </c>
      <c r="C29" s="7">
        <v>45341</v>
      </c>
      <c r="D29" s="3">
        <v>86</v>
      </c>
      <c r="E29" s="1">
        <v>329.81</v>
      </c>
      <c r="F29" s="3" t="s">
        <v>2</v>
      </c>
      <c r="G29" s="1">
        <v>576</v>
      </c>
      <c r="H29" s="2">
        <v>45341.010416666664</v>
      </c>
      <c r="I29" s="2">
        <v>45341.5</v>
      </c>
      <c r="J29" s="1">
        <f t="shared" si="0"/>
        <v>11.750000000058208</v>
      </c>
      <c r="K29" s="1">
        <v>49.021276595501838</v>
      </c>
      <c r="L29" s="1">
        <v>24</v>
      </c>
      <c r="M29" s="1">
        <v>0</v>
      </c>
      <c r="N29" s="3" t="s">
        <v>3</v>
      </c>
      <c r="O29" s="3" t="s">
        <v>1</v>
      </c>
      <c r="P29" s="8" t="s">
        <v>12</v>
      </c>
      <c r="Q29" s="2">
        <v>45342.490393518521</v>
      </c>
      <c r="R29" s="2">
        <v>45342.584421296298</v>
      </c>
      <c r="S29" s="1"/>
      <c r="T29" s="1" t="s">
        <v>87</v>
      </c>
      <c r="U29" s="1">
        <v>3414</v>
      </c>
      <c r="V29" s="1">
        <v>2382.0000000000005</v>
      </c>
      <c r="W29" s="1">
        <v>23.8</v>
      </c>
      <c r="X29" s="1">
        <v>21.299999999999994</v>
      </c>
      <c r="Y29" s="1">
        <v>22</v>
      </c>
    </row>
    <row r="30" spans="1:25" x14ac:dyDescent="0.25">
      <c r="A30" s="3">
        <v>26</v>
      </c>
      <c r="C30" s="7">
        <v>45343</v>
      </c>
      <c r="D30" s="3">
        <v>88</v>
      </c>
      <c r="E30" s="1">
        <v>333.41</v>
      </c>
      <c r="F30" s="3" t="s">
        <v>2</v>
      </c>
      <c r="G30" s="1">
        <v>489</v>
      </c>
      <c r="H30" s="2">
        <v>45342.979166666664</v>
      </c>
      <c r="I30" s="2">
        <v>45343.958333333336</v>
      </c>
      <c r="J30" s="1">
        <f t="shared" si="0"/>
        <v>23.500000000116415</v>
      </c>
      <c r="K30" s="1">
        <v>20.80851063819479</v>
      </c>
      <c r="L30" s="1">
        <v>24</v>
      </c>
      <c r="M30" s="1">
        <v>0</v>
      </c>
      <c r="N30" s="3" t="s">
        <v>5</v>
      </c>
      <c r="O30" s="3" t="s">
        <v>1</v>
      </c>
      <c r="P30" s="8"/>
      <c r="Q30" s="2">
        <v>45344.152951388889</v>
      </c>
      <c r="R30" s="2">
        <v>45344.214861111112</v>
      </c>
      <c r="S30" s="1"/>
      <c r="T30" s="1" t="s">
        <v>87</v>
      </c>
      <c r="U30" s="1">
        <v>921</v>
      </c>
      <c r="V30" s="1">
        <v>980.4</v>
      </c>
      <c r="W30" s="1">
        <v>10.8</v>
      </c>
      <c r="X30" s="1">
        <v>26.600000000000005</v>
      </c>
      <c r="Y30" s="1">
        <v>18</v>
      </c>
    </row>
    <row r="31" spans="1:25" x14ac:dyDescent="0.25">
      <c r="A31" s="3">
        <v>27</v>
      </c>
      <c r="C31" s="7">
        <v>45355</v>
      </c>
      <c r="D31" s="3">
        <v>92</v>
      </c>
      <c r="E31" s="1">
        <v>340.61</v>
      </c>
      <c r="F31" s="3" t="s">
        <v>2</v>
      </c>
      <c r="G31" s="1">
        <v>518</v>
      </c>
      <c r="H31" s="2">
        <v>45353.958333333336</v>
      </c>
      <c r="I31" s="2">
        <v>45355.583333333336</v>
      </c>
      <c r="J31" s="1">
        <f t="shared" si="0"/>
        <v>39</v>
      </c>
      <c r="K31" s="1">
        <v>46.25</v>
      </c>
      <c r="L31" s="1">
        <v>24</v>
      </c>
      <c r="M31" s="1">
        <v>0</v>
      </c>
      <c r="N31" s="3" t="s">
        <v>3</v>
      </c>
      <c r="O31" s="3" t="s">
        <v>1</v>
      </c>
      <c r="P31" s="8" t="s">
        <v>12</v>
      </c>
      <c r="Q31" s="2">
        <v>45355.60229166667</v>
      </c>
      <c r="R31" s="2">
        <v>45355.693402777775</v>
      </c>
      <c r="S31" s="1"/>
      <c r="T31" s="1" t="s">
        <v>87</v>
      </c>
      <c r="U31" s="1">
        <v>2599</v>
      </c>
      <c r="V31" s="1">
        <v>1982.3</v>
      </c>
      <c r="W31" s="1">
        <v>21.600000000000009</v>
      </c>
      <c r="X31" s="1">
        <v>64.099999999999994</v>
      </c>
      <c r="Y31" s="1">
        <v>20</v>
      </c>
    </row>
    <row r="32" spans="1:25" x14ac:dyDescent="0.25">
      <c r="A32" s="3">
        <v>28</v>
      </c>
      <c r="C32" s="7">
        <v>45356</v>
      </c>
      <c r="D32" s="3">
        <v>95</v>
      </c>
      <c r="E32" s="1">
        <v>346.01</v>
      </c>
      <c r="F32" s="3" t="s">
        <v>2</v>
      </c>
      <c r="G32" s="1">
        <v>480</v>
      </c>
      <c r="H32" s="2">
        <v>45356.05</v>
      </c>
      <c r="I32" s="2">
        <v>45356.458333333336</v>
      </c>
      <c r="J32" s="1">
        <f t="shared" si="0"/>
        <v>9.7999999999883585</v>
      </c>
      <c r="K32" s="1">
        <v>48.979591836792878</v>
      </c>
      <c r="L32" s="1">
        <v>40</v>
      </c>
      <c r="M32" s="1">
        <v>0</v>
      </c>
      <c r="N32" s="3" t="s">
        <v>3</v>
      </c>
      <c r="O32" s="3" t="s">
        <v>1</v>
      </c>
      <c r="P32" s="8" t="s">
        <v>12</v>
      </c>
      <c r="Q32" s="2">
        <v>45356.459444444445</v>
      </c>
      <c r="R32" s="2">
        <v>45356.771180555559</v>
      </c>
      <c r="S32" s="1"/>
      <c r="T32" s="1" t="s">
        <v>87</v>
      </c>
      <c r="U32" s="1">
        <v>11553</v>
      </c>
      <c r="V32" s="1">
        <v>8043.2</v>
      </c>
      <c r="W32" s="1">
        <v>91.4</v>
      </c>
      <c r="X32" s="1">
        <v>243.69999999999993</v>
      </c>
      <c r="Y32" s="1">
        <v>11</v>
      </c>
    </row>
    <row r="33" spans="1:25" x14ac:dyDescent="0.25">
      <c r="A33" s="3">
        <v>29</v>
      </c>
      <c r="C33" s="7">
        <v>45358</v>
      </c>
      <c r="D33" s="3">
        <v>110</v>
      </c>
      <c r="E33" s="1">
        <v>373.01</v>
      </c>
      <c r="F33" s="3" t="s">
        <v>9</v>
      </c>
      <c r="G33" s="1">
        <v>240</v>
      </c>
      <c r="H33" s="2">
        <v>45357.916666666664</v>
      </c>
      <c r="I33" s="2">
        <v>45358.0625</v>
      </c>
      <c r="J33" s="1">
        <f t="shared" si="0"/>
        <v>3.5000000000582077</v>
      </c>
      <c r="K33" s="1">
        <v>68.571428570288177</v>
      </c>
      <c r="L33" s="1">
        <v>40</v>
      </c>
      <c r="M33" s="1">
        <v>0</v>
      </c>
      <c r="N33" s="3" t="s">
        <v>3</v>
      </c>
      <c r="O33" s="3" t="s">
        <v>1</v>
      </c>
      <c r="P33" s="8" t="s">
        <v>12</v>
      </c>
      <c r="S33" s="1"/>
      <c r="T33" s="1" t="s">
        <v>87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x14ac:dyDescent="0.25">
      <c r="A34" s="3">
        <v>30</v>
      </c>
      <c r="C34" s="7">
        <v>45360</v>
      </c>
      <c r="D34" s="3">
        <v>123</v>
      </c>
      <c r="E34" s="1">
        <v>396.41</v>
      </c>
      <c r="F34" s="3" t="s">
        <v>9</v>
      </c>
      <c r="G34" s="1">
        <v>240</v>
      </c>
      <c r="H34" s="2">
        <v>45359.506944444445</v>
      </c>
      <c r="I34" s="2">
        <v>45359.673611111109</v>
      </c>
      <c r="J34" s="1">
        <f t="shared" si="0"/>
        <v>3.9999999999417923</v>
      </c>
      <c r="K34" s="1">
        <v>60.000000000873115</v>
      </c>
      <c r="L34" s="1">
        <v>40</v>
      </c>
      <c r="M34" s="1">
        <v>0</v>
      </c>
      <c r="N34" s="3" t="s">
        <v>3</v>
      </c>
      <c r="O34" s="3" t="s">
        <v>1</v>
      </c>
      <c r="P34" s="8" t="s">
        <v>13</v>
      </c>
      <c r="Q34" s="2">
        <v>45359.717361111114</v>
      </c>
      <c r="R34" s="2">
        <v>45359.832638888889</v>
      </c>
      <c r="S34" s="1"/>
      <c r="T34" s="1" t="s">
        <v>87</v>
      </c>
      <c r="U34" s="1">
        <v>3249</v>
      </c>
      <c r="V34" s="1">
        <v>2562.599999999999</v>
      </c>
      <c r="W34" s="1">
        <v>26</v>
      </c>
      <c r="X34" s="1">
        <v>76.900000000000034</v>
      </c>
      <c r="Y34" s="1">
        <v>6</v>
      </c>
    </row>
    <row r="35" spans="1:25" x14ac:dyDescent="0.25">
      <c r="A35" s="3">
        <v>31</v>
      </c>
      <c r="C35" s="7">
        <v>45362</v>
      </c>
      <c r="D35" s="3">
        <v>137</v>
      </c>
      <c r="E35" s="1">
        <v>421.61</v>
      </c>
      <c r="F35" s="3" t="s">
        <v>2</v>
      </c>
      <c r="G35" s="1">
        <v>480</v>
      </c>
      <c r="H35" s="2">
        <v>45360.913194444445</v>
      </c>
      <c r="I35" s="2">
        <v>45362.340277777781</v>
      </c>
      <c r="J35" s="1">
        <f t="shared" si="0"/>
        <v>34.250000000058208</v>
      </c>
      <c r="K35" s="1">
        <v>71.111111110497902</v>
      </c>
      <c r="L35" s="1">
        <v>40</v>
      </c>
      <c r="M35" s="1">
        <v>0</v>
      </c>
      <c r="N35" s="3" t="s">
        <v>3</v>
      </c>
      <c r="O35" s="3" t="s">
        <v>1</v>
      </c>
      <c r="P35" s="8" t="s">
        <v>12</v>
      </c>
      <c r="Q35" s="2">
        <v>45362.347662037035</v>
      </c>
      <c r="R35" s="2">
        <v>45362.825069444443</v>
      </c>
      <c r="S35" s="1"/>
      <c r="T35" s="1" t="s">
        <v>87</v>
      </c>
      <c r="U35" s="1">
        <v>25547</v>
      </c>
      <c r="V35" s="1">
        <v>21447</v>
      </c>
      <c r="W35" s="1">
        <v>228.19999999999996</v>
      </c>
      <c r="X35" s="1">
        <v>672.2</v>
      </c>
      <c r="Y35" s="1">
        <v>12</v>
      </c>
    </row>
    <row r="36" spans="1:25" x14ac:dyDescent="0.25">
      <c r="A36" s="3">
        <v>32</v>
      </c>
      <c r="C36" s="7">
        <v>45364</v>
      </c>
      <c r="D36" s="3">
        <v>139</v>
      </c>
      <c r="E36" s="1">
        <v>425.21</v>
      </c>
      <c r="F36" s="3" t="s">
        <v>9</v>
      </c>
      <c r="G36" s="1">
        <v>396</v>
      </c>
      <c r="H36" s="2">
        <v>45363.34375</v>
      </c>
      <c r="I36" s="2">
        <v>45363.65625</v>
      </c>
      <c r="J36" s="1">
        <f t="shared" si="0"/>
        <v>7.5</v>
      </c>
      <c r="K36" s="1">
        <v>52.8</v>
      </c>
      <c r="L36" s="1">
        <v>32.6</v>
      </c>
      <c r="M36" s="1">
        <v>0</v>
      </c>
      <c r="N36" s="3" t="s">
        <v>3</v>
      </c>
      <c r="O36" s="3" t="s">
        <v>1</v>
      </c>
      <c r="P36" s="8" t="s">
        <v>12</v>
      </c>
      <c r="Q36" s="2">
        <v>45363.644814814812</v>
      </c>
      <c r="R36" s="2">
        <v>45363.935601851852</v>
      </c>
      <c r="S36" s="1"/>
      <c r="T36" s="1" t="s">
        <v>87</v>
      </c>
      <c r="U36" s="1">
        <v>10849</v>
      </c>
      <c r="V36" s="1">
        <v>8421</v>
      </c>
      <c r="W36" s="1">
        <v>87</v>
      </c>
      <c r="X36" s="1">
        <v>299</v>
      </c>
      <c r="Y36" s="1">
        <v>12</v>
      </c>
    </row>
    <row r="37" spans="1:25" x14ac:dyDescent="0.25">
      <c r="A37" s="3">
        <v>33</v>
      </c>
      <c r="C37" s="7">
        <v>45365</v>
      </c>
      <c r="D37" s="3">
        <v>147</v>
      </c>
      <c r="E37" s="1">
        <v>439.61</v>
      </c>
      <c r="F37" s="3" t="s">
        <v>2</v>
      </c>
      <c r="G37" s="1">
        <v>706</v>
      </c>
      <c r="H37" s="2">
        <v>45364.557638888888</v>
      </c>
      <c r="I37" s="2">
        <v>45364.960416666669</v>
      </c>
      <c r="J37" s="1">
        <f t="shared" si="0"/>
        <v>9.6666666667442769</v>
      </c>
      <c r="K37" s="1">
        <v>73.034482758034315</v>
      </c>
      <c r="L37" s="1">
        <v>27</v>
      </c>
      <c r="M37" s="1">
        <v>0</v>
      </c>
      <c r="N37" s="3" t="s">
        <v>5</v>
      </c>
      <c r="O37" s="3" t="s">
        <v>1</v>
      </c>
      <c r="P37" s="8"/>
      <c r="Q37" s="2">
        <v>45365.008518518516</v>
      </c>
      <c r="R37" s="2">
        <v>45365.941099537034</v>
      </c>
      <c r="S37" s="1"/>
      <c r="T37" s="1" t="s">
        <v>87</v>
      </c>
      <c r="U37" s="1">
        <v>39368</v>
      </c>
      <c r="V37" s="1">
        <v>33037.699999999997</v>
      </c>
      <c r="W37" s="1">
        <v>335.8</v>
      </c>
      <c r="X37" s="1">
        <v>1046</v>
      </c>
      <c r="Y37" s="1">
        <v>21</v>
      </c>
    </row>
    <row r="38" spans="1:25" x14ac:dyDescent="0.25">
      <c r="A38" s="3">
        <v>34</v>
      </c>
      <c r="C38" s="7">
        <v>45365</v>
      </c>
      <c r="D38" s="3">
        <v>149</v>
      </c>
      <c r="E38" s="1">
        <v>443.21</v>
      </c>
      <c r="F38" s="3" t="s">
        <v>9</v>
      </c>
      <c r="G38" s="1">
        <v>162</v>
      </c>
      <c r="H38" s="2">
        <v>45365.006944444445</v>
      </c>
      <c r="I38" s="2">
        <v>45365.17083333333</v>
      </c>
      <c r="J38" s="1">
        <f t="shared" si="0"/>
        <v>3.9333333332324401</v>
      </c>
      <c r="K38" s="1">
        <v>41.186440679022567</v>
      </c>
      <c r="L38" s="1">
        <v>24</v>
      </c>
      <c r="M38" s="1">
        <v>0</v>
      </c>
      <c r="N38" s="3" t="s">
        <v>3</v>
      </c>
      <c r="O38" s="3" t="s">
        <v>1</v>
      </c>
      <c r="P38" s="8" t="s">
        <v>14</v>
      </c>
      <c r="Q38" s="2">
        <v>45366.20758101852</v>
      </c>
      <c r="R38" s="2">
        <v>45366.359143518515</v>
      </c>
      <c r="S38" s="1"/>
      <c r="T38" s="1" t="s">
        <v>87</v>
      </c>
      <c r="U38" s="1">
        <v>7075</v>
      </c>
      <c r="V38" s="1">
        <v>5718.9</v>
      </c>
      <c r="W38" s="1">
        <v>59.2</v>
      </c>
      <c r="X38" s="1">
        <v>196.4</v>
      </c>
      <c r="Y38" s="1">
        <v>6</v>
      </c>
    </row>
    <row r="39" spans="1:25" x14ac:dyDescent="0.25">
      <c r="A39" s="3">
        <v>35</v>
      </c>
      <c r="C39" s="7">
        <v>45367</v>
      </c>
      <c r="D39" s="3">
        <v>157</v>
      </c>
      <c r="E39" s="1">
        <v>457.61</v>
      </c>
      <c r="F39" s="3" t="s">
        <v>2</v>
      </c>
      <c r="G39" s="1">
        <v>692</v>
      </c>
      <c r="H39" s="2">
        <v>45367.047222222223</v>
      </c>
      <c r="I39" s="2">
        <v>45367.438194444447</v>
      </c>
      <c r="J39" s="1">
        <f t="shared" si="0"/>
        <v>9.3833333333604969</v>
      </c>
      <c r="K39" s="1">
        <v>73.747779751118657</v>
      </c>
      <c r="L39" s="1">
        <v>24</v>
      </c>
      <c r="M39" s="1">
        <v>0</v>
      </c>
      <c r="N39" s="3" t="s">
        <v>3</v>
      </c>
      <c r="O39" s="3" t="s">
        <v>1</v>
      </c>
      <c r="P39" s="8" t="s">
        <v>12</v>
      </c>
      <c r="Q39" s="2">
        <v>45367.468900462962</v>
      </c>
      <c r="R39" s="2">
        <v>45367.666273148148</v>
      </c>
      <c r="S39" s="1"/>
      <c r="T39" s="1" t="s">
        <v>87</v>
      </c>
      <c r="U39" s="1">
        <v>11623</v>
      </c>
      <c r="V39" s="1">
        <v>9204.7999999999993</v>
      </c>
      <c r="W39" s="1">
        <v>93.800000000000026</v>
      </c>
      <c r="X39" s="1">
        <v>389.6</v>
      </c>
      <c r="Y39" s="1">
        <v>21</v>
      </c>
    </row>
    <row r="40" spans="1:25" x14ac:dyDescent="0.25">
      <c r="A40" s="3">
        <v>36</v>
      </c>
      <c r="C40" s="7">
        <v>45367</v>
      </c>
      <c r="D40" s="3">
        <v>160</v>
      </c>
      <c r="E40" s="1">
        <v>463.01</v>
      </c>
      <c r="F40" s="3" t="s">
        <v>9</v>
      </c>
      <c r="G40" s="1">
        <v>162</v>
      </c>
      <c r="H40" s="2">
        <v>45367.852604166699</v>
      </c>
      <c r="I40" s="2">
        <v>45367.903298611098</v>
      </c>
      <c r="J40" s="1">
        <f t="shared" si="0"/>
        <v>1.2166666655684821</v>
      </c>
      <c r="K40" s="1">
        <v>133.15068505169097</v>
      </c>
      <c r="L40" s="1">
        <v>24</v>
      </c>
      <c r="M40" s="1">
        <v>0</v>
      </c>
      <c r="N40" s="3" t="s">
        <v>3</v>
      </c>
      <c r="O40" s="3" t="s">
        <v>1</v>
      </c>
      <c r="P40" s="8" t="s">
        <v>12</v>
      </c>
      <c r="Q40" s="2">
        <v>45367.923888888887</v>
      </c>
      <c r="R40" s="2">
        <v>45367.982731481483</v>
      </c>
      <c r="S40" s="1"/>
      <c r="T40" s="1" t="s">
        <v>87</v>
      </c>
      <c r="U40" s="1">
        <v>2692</v>
      </c>
      <c r="V40" s="1">
        <v>2163.6</v>
      </c>
      <c r="W40" s="1">
        <v>21.6</v>
      </c>
      <c r="X40" s="1">
        <v>74.599999999999994</v>
      </c>
      <c r="Y40" s="1">
        <v>6</v>
      </c>
    </row>
    <row r="41" spans="1:25" x14ac:dyDescent="0.25">
      <c r="A41" s="3">
        <v>37</v>
      </c>
      <c r="C41" s="7">
        <v>45370</v>
      </c>
      <c r="D41" s="3">
        <v>168</v>
      </c>
      <c r="E41" s="1">
        <v>477.41</v>
      </c>
      <c r="F41" s="3" t="s">
        <v>2</v>
      </c>
      <c r="G41" s="1">
        <v>649.22699999999998</v>
      </c>
      <c r="H41" s="2">
        <v>45369.879861111112</v>
      </c>
      <c r="I41" s="2">
        <v>45371.15902777778</v>
      </c>
      <c r="J41" s="1">
        <f t="shared" si="0"/>
        <v>30.700000000011642</v>
      </c>
      <c r="K41" s="1">
        <v>21.147459283379604</v>
      </c>
      <c r="L41" s="1">
        <v>32.6</v>
      </c>
      <c r="M41" s="1">
        <v>0</v>
      </c>
      <c r="N41" s="3" t="s">
        <v>3</v>
      </c>
      <c r="O41" s="3" t="s">
        <v>1</v>
      </c>
      <c r="P41" s="8" t="s">
        <v>15</v>
      </c>
      <c r="Q41" s="2">
        <v>45370.564930555556</v>
      </c>
      <c r="R41" s="2">
        <v>45371.211030092592</v>
      </c>
      <c r="S41" s="1"/>
      <c r="T41" s="1" t="s">
        <v>87</v>
      </c>
      <c r="U41" s="1">
        <v>29911</v>
      </c>
      <c r="V41" s="1">
        <v>25960.200000000004</v>
      </c>
      <c r="W41" s="1">
        <v>263.60000000000002</v>
      </c>
      <c r="X41" s="1">
        <v>569.00000000000011</v>
      </c>
      <c r="Y41" s="1">
        <v>19</v>
      </c>
    </row>
    <row r="42" spans="1:25" x14ac:dyDescent="0.25">
      <c r="A42" s="3">
        <v>38</v>
      </c>
      <c r="C42" s="7">
        <v>45371</v>
      </c>
      <c r="D42" s="3">
        <v>170</v>
      </c>
      <c r="E42" s="1">
        <v>481.01</v>
      </c>
      <c r="F42" s="3" t="s">
        <v>9</v>
      </c>
      <c r="G42" s="1">
        <v>161.827</v>
      </c>
      <c r="H42" s="2">
        <v>45371.411284722199</v>
      </c>
      <c r="I42" s="2">
        <v>45371.733043981498</v>
      </c>
      <c r="J42" s="1">
        <f t="shared" si="0"/>
        <v>7.7222222231794149</v>
      </c>
      <c r="K42" s="1">
        <v>20.956014385891649</v>
      </c>
      <c r="L42" s="1">
        <v>27</v>
      </c>
      <c r="M42" s="1">
        <v>0</v>
      </c>
      <c r="N42" s="3" t="s">
        <v>3</v>
      </c>
      <c r="O42" s="3" t="s">
        <v>1</v>
      </c>
      <c r="P42" s="8" t="s">
        <v>15</v>
      </c>
      <c r="Q42" s="2">
        <v>45371.627766203703</v>
      </c>
      <c r="R42" s="2">
        <v>45371.683067129627</v>
      </c>
      <c r="S42" s="1"/>
      <c r="T42" s="1" t="s">
        <v>87</v>
      </c>
      <c r="U42" s="1">
        <v>1912</v>
      </c>
      <c r="V42" s="1">
        <v>1502.3</v>
      </c>
      <c r="W42" s="1">
        <v>15</v>
      </c>
      <c r="X42" s="1">
        <v>71.2</v>
      </c>
      <c r="Y42" s="1">
        <v>3</v>
      </c>
    </row>
    <row r="43" spans="1:25" x14ac:dyDescent="0.25">
      <c r="A43" s="3">
        <v>39</v>
      </c>
      <c r="C43" s="7">
        <v>45372</v>
      </c>
      <c r="D43" s="3">
        <v>172</v>
      </c>
      <c r="E43" s="1">
        <v>484.61</v>
      </c>
      <c r="F43" s="3" t="s">
        <v>2</v>
      </c>
      <c r="G43" s="1">
        <v>693.702</v>
      </c>
      <c r="H43" s="2">
        <v>45372.002858796302</v>
      </c>
      <c r="I43" s="2">
        <v>45372.737847222197</v>
      </c>
      <c r="J43" s="1">
        <f t="shared" si="0"/>
        <v>17.639722221472766</v>
      </c>
      <c r="K43" s="1">
        <v>39.32612947586891</v>
      </c>
      <c r="L43" s="1">
        <v>32.6</v>
      </c>
      <c r="M43" s="1">
        <v>0</v>
      </c>
      <c r="N43" s="3" t="s">
        <v>3</v>
      </c>
      <c r="O43" s="3" t="s">
        <v>1</v>
      </c>
      <c r="P43" s="8" t="s">
        <v>15</v>
      </c>
      <c r="Q43" s="2">
        <v>45372.766585648147</v>
      </c>
      <c r="R43" s="2">
        <v>45373.146493055552</v>
      </c>
      <c r="S43" s="1"/>
      <c r="T43" s="1" t="s">
        <v>87</v>
      </c>
      <c r="U43" s="1">
        <v>19788</v>
      </c>
      <c r="V43" s="1">
        <v>17309.7</v>
      </c>
      <c r="W43" s="1">
        <v>173.00000000000003</v>
      </c>
      <c r="X43" s="1">
        <v>386.8</v>
      </c>
      <c r="Y43" s="1">
        <v>17</v>
      </c>
    </row>
    <row r="44" spans="1:25" x14ac:dyDescent="0.25">
      <c r="A44" s="3">
        <v>40</v>
      </c>
      <c r="C44" s="7">
        <v>45373</v>
      </c>
      <c r="D44" s="3">
        <v>174</v>
      </c>
      <c r="E44" s="1">
        <v>488.21</v>
      </c>
      <c r="F44" s="3" t="s">
        <v>9</v>
      </c>
      <c r="G44" s="1">
        <v>152.84100000000001</v>
      </c>
      <c r="H44" s="2">
        <v>45373.4519560185</v>
      </c>
      <c r="I44" s="2">
        <v>45373.554120370398</v>
      </c>
      <c r="J44" s="1">
        <f t="shared" si="0"/>
        <v>2.4519444455509074</v>
      </c>
      <c r="K44" s="1">
        <v>62.334609692047657</v>
      </c>
      <c r="L44" s="1">
        <v>27</v>
      </c>
      <c r="M44" s="1">
        <v>0</v>
      </c>
      <c r="N44" s="3" t="s">
        <v>3</v>
      </c>
      <c r="O44" s="3" t="s">
        <v>1</v>
      </c>
      <c r="P44" s="8" t="s">
        <v>15</v>
      </c>
      <c r="Q44" s="2">
        <v>45373.586550925924</v>
      </c>
      <c r="R44" s="2">
        <v>45373.665902777779</v>
      </c>
      <c r="S44" s="1"/>
      <c r="T44" s="1" t="s">
        <v>87</v>
      </c>
      <c r="U44" s="1">
        <v>3029</v>
      </c>
      <c r="V44" s="1">
        <v>2439.6000000000004</v>
      </c>
      <c r="W44" s="1">
        <v>24.399999999999995</v>
      </c>
      <c r="X44" s="1">
        <v>114.80000000000001</v>
      </c>
      <c r="Y44" s="1">
        <v>6</v>
      </c>
    </row>
    <row r="45" spans="1:25" x14ac:dyDescent="0.25">
      <c r="A45" s="3">
        <v>41</v>
      </c>
      <c r="C45" s="7">
        <v>45376</v>
      </c>
      <c r="D45" s="3">
        <v>182</v>
      </c>
      <c r="E45" s="1">
        <v>502.61</v>
      </c>
      <c r="F45" s="3" t="s">
        <v>2</v>
      </c>
      <c r="G45" s="1">
        <v>663.88599999999997</v>
      </c>
      <c r="H45" s="2">
        <v>45374.355555555558</v>
      </c>
      <c r="I45" s="2">
        <v>45374.629861111112</v>
      </c>
      <c r="J45" s="1">
        <f t="shared" si="0"/>
        <v>6.5833333333139308</v>
      </c>
      <c r="K45" s="1">
        <v>100.84344303827189</v>
      </c>
      <c r="L45" s="1">
        <v>32.6</v>
      </c>
      <c r="M45" s="1">
        <v>0</v>
      </c>
      <c r="N45" s="3" t="s">
        <v>3</v>
      </c>
      <c r="O45" s="3" t="s">
        <v>1</v>
      </c>
      <c r="P45" s="8" t="s">
        <v>15</v>
      </c>
      <c r="Q45" s="2">
        <v>45374.65483796296</v>
      </c>
      <c r="R45" s="2">
        <v>45376.788124999999</v>
      </c>
      <c r="S45" s="1"/>
      <c r="T45" s="1" t="s">
        <v>87</v>
      </c>
      <c r="U45" s="1">
        <v>27578</v>
      </c>
      <c r="V45" s="1">
        <v>22906.5</v>
      </c>
      <c r="W45" s="1">
        <v>267.59999999999997</v>
      </c>
      <c r="X45" s="1">
        <v>829.10000000000025</v>
      </c>
      <c r="Y45" s="1">
        <v>21</v>
      </c>
    </row>
    <row r="46" spans="1:25" x14ac:dyDescent="0.25">
      <c r="A46" s="3">
        <v>42</v>
      </c>
      <c r="C46" s="7">
        <v>45376</v>
      </c>
      <c r="D46" s="3">
        <v>184</v>
      </c>
      <c r="E46" s="1">
        <v>506.21</v>
      </c>
      <c r="F46" s="3" t="s">
        <v>9</v>
      </c>
      <c r="G46" s="1">
        <v>142.35599999999999</v>
      </c>
      <c r="H46" s="2">
        <v>45377.022962962998</v>
      </c>
      <c r="I46" s="2">
        <v>45377.090057870402</v>
      </c>
      <c r="J46" s="1">
        <f t="shared" si="0"/>
        <v>1.6102777777123265</v>
      </c>
      <c r="K46" s="1">
        <v>88.404623084497203</v>
      </c>
      <c r="L46" s="1">
        <v>32.6</v>
      </c>
      <c r="M46" s="1">
        <v>0</v>
      </c>
      <c r="N46" s="3" t="s">
        <v>3</v>
      </c>
      <c r="O46" s="3" t="s">
        <v>1</v>
      </c>
      <c r="P46" s="8" t="s">
        <v>15</v>
      </c>
      <c r="Q46" s="2">
        <v>45377.132372685184</v>
      </c>
      <c r="R46" s="2">
        <v>45377.309247685182</v>
      </c>
      <c r="S46" s="1"/>
      <c r="T46" s="1" t="s">
        <v>87</v>
      </c>
      <c r="U46" s="1">
        <v>7695</v>
      </c>
      <c r="V46" s="1">
        <v>5861.8999999999987</v>
      </c>
      <c r="W46" s="1">
        <v>65.8</v>
      </c>
      <c r="X46" s="1">
        <v>194.7</v>
      </c>
      <c r="Y46" s="1">
        <v>6</v>
      </c>
    </row>
    <row r="47" spans="1:25" x14ac:dyDescent="0.25">
      <c r="A47" s="3">
        <v>43</v>
      </c>
      <c r="C47" s="7">
        <v>45378</v>
      </c>
      <c r="D47" s="3">
        <v>194</v>
      </c>
      <c r="E47" s="1">
        <v>524.21</v>
      </c>
      <c r="F47" s="3" t="s">
        <v>2</v>
      </c>
      <c r="G47" s="1">
        <v>652</v>
      </c>
      <c r="H47" s="2">
        <v>45378.004976851902</v>
      </c>
      <c r="I47" s="2">
        <v>45378.328541666669</v>
      </c>
      <c r="J47" s="1">
        <f t="shared" si="0"/>
        <v>7.7655555544188246</v>
      </c>
      <c r="K47" s="1">
        <v>83.960509384160318</v>
      </c>
      <c r="L47" s="1">
        <v>32.6</v>
      </c>
      <c r="M47" s="1">
        <v>0</v>
      </c>
      <c r="N47" s="3" t="s">
        <v>3</v>
      </c>
      <c r="O47" s="3" t="s">
        <v>1</v>
      </c>
      <c r="P47" s="8" t="s">
        <v>15</v>
      </c>
      <c r="Q47" s="2">
        <v>45378.328541666669</v>
      </c>
      <c r="R47" s="2">
        <v>45378.666122685187</v>
      </c>
      <c r="S47" s="1"/>
      <c r="T47" s="1" t="s">
        <v>87</v>
      </c>
      <c r="U47" s="1">
        <v>16761</v>
      </c>
      <c r="V47" s="1">
        <v>13812.8</v>
      </c>
      <c r="W47" s="1">
        <v>144.80000000000001</v>
      </c>
      <c r="X47" s="1">
        <v>396.49999999999994</v>
      </c>
      <c r="Y47" s="1">
        <v>20</v>
      </c>
    </row>
    <row r="48" spans="1:25" x14ac:dyDescent="0.25">
      <c r="A48" s="3">
        <v>44</v>
      </c>
      <c r="C48" s="7">
        <v>45385</v>
      </c>
      <c r="D48" s="3">
        <v>198</v>
      </c>
      <c r="E48" s="1">
        <v>531.41</v>
      </c>
      <c r="F48" s="3" t="s">
        <v>2</v>
      </c>
      <c r="G48" s="1">
        <v>757.2</v>
      </c>
      <c r="H48" s="2">
        <v>45385.229166666664</v>
      </c>
      <c r="I48" s="2">
        <v>45385.993055555555</v>
      </c>
      <c r="J48" s="1">
        <f t="shared" si="0"/>
        <v>18.333333333372138</v>
      </c>
      <c r="K48" s="1">
        <v>41.301818181730766</v>
      </c>
      <c r="L48" s="1">
        <v>32.6</v>
      </c>
      <c r="M48" s="1">
        <v>0</v>
      </c>
      <c r="N48" s="3" t="s">
        <v>3</v>
      </c>
      <c r="O48" s="3" t="s">
        <v>1</v>
      </c>
      <c r="P48" s="8" t="s">
        <v>15</v>
      </c>
      <c r="Q48" s="2">
        <v>45386.020960648151</v>
      </c>
      <c r="R48" s="2">
        <v>45386.573287037034</v>
      </c>
      <c r="S48" s="1"/>
      <c r="T48" s="1" t="s">
        <v>87</v>
      </c>
      <c r="U48" s="1">
        <v>24813</v>
      </c>
      <c r="V48" s="1">
        <v>17958.7</v>
      </c>
      <c r="W48" s="1">
        <v>191.6</v>
      </c>
      <c r="X48" s="1">
        <v>603.40000000000009</v>
      </c>
      <c r="Y48" s="1">
        <v>24</v>
      </c>
    </row>
    <row r="49" spans="1:25" x14ac:dyDescent="0.25">
      <c r="A49" s="3">
        <v>45</v>
      </c>
      <c r="C49" s="7">
        <v>45387</v>
      </c>
      <c r="D49" s="3">
        <v>200</v>
      </c>
      <c r="E49" s="1">
        <v>535.01</v>
      </c>
      <c r="F49" s="3" t="s">
        <v>9</v>
      </c>
      <c r="G49" s="1">
        <v>162.011</v>
      </c>
      <c r="H49" s="2">
        <v>45387.011099536998</v>
      </c>
      <c r="I49" s="2">
        <v>45387.0842708333</v>
      </c>
      <c r="J49" s="1">
        <f t="shared" si="0"/>
        <v>1.7561111112590879</v>
      </c>
      <c r="K49" s="1">
        <v>92.255552032719692</v>
      </c>
      <c r="L49" s="1">
        <v>27</v>
      </c>
      <c r="M49" s="1">
        <v>0</v>
      </c>
      <c r="N49" s="3" t="s">
        <v>3</v>
      </c>
      <c r="O49" s="3" t="s">
        <v>1</v>
      </c>
      <c r="P49" s="8" t="s">
        <v>15</v>
      </c>
      <c r="Q49" s="2">
        <v>45387.110208333332</v>
      </c>
      <c r="R49" s="2">
        <v>45387.23982638889</v>
      </c>
      <c r="S49" s="1"/>
      <c r="T49" s="1" t="s">
        <v>87</v>
      </c>
      <c r="U49" s="1">
        <v>5333</v>
      </c>
      <c r="V49" s="1">
        <v>4061</v>
      </c>
      <c r="W49" s="1">
        <v>55</v>
      </c>
      <c r="X49" s="1">
        <v>155</v>
      </c>
      <c r="Y49" s="1">
        <v>6</v>
      </c>
    </row>
    <row r="50" spans="1:25" x14ac:dyDescent="0.25">
      <c r="A50" s="3">
        <v>46</v>
      </c>
      <c r="C50" s="7">
        <v>45388</v>
      </c>
      <c r="D50" s="3">
        <v>208</v>
      </c>
      <c r="E50" s="1">
        <v>549.41</v>
      </c>
      <c r="F50" s="3" t="s">
        <v>2</v>
      </c>
      <c r="G50" s="1">
        <v>415.2</v>
      </c>
      <c r="H50" s="2">
        <v>45388.395833333336</v>
      </c>
      <c r="I50" s="2">
        <v>45388.958333333336</v>
      </c>
      <c r="J50" s="1">
        <f t="shared" si="0"/>
        <v>13.5</v>
      </c>
      <c r="K50" s="1">
        <v>30.755555555555556</v>
      </c>
      <c r="L50" s="1">
        <v>32.6</v>
      </c>
      <c r="M50" s="1">
        <v>0</v>
      </c>
      <c r="N50" s="3" t="s">
        <v>3</v>
      </c>
      <c r="O50" s="3" t="s">
        <v>1</v>
      </c>
      <c r="P50" s="8" t="s">
        <v>15</v>
      </c>
      <c r="Q50" s="2">
        <v>45388.9375</v>
      </c>
      <c r="R50" s="2">
        <v>45389.072916666664</v>
      </c>
      <c r="S50" s="1"/>
      <c r="T50" s="1" t="s">
        <v>87</v>
      </c>
      <c r="U50" s="1"/>
      <c r="V50" s="1">
        <v>6448.7</v>
      </c>
      <c r="W50" s="1">
        <v>64</v>
      </c>
      <c r="X50" s="1">
        <v>97.9</v>
      </c>
      <c r="Y50" s="1">
        <v>13</v>
      </c>
    </row>
    <row r="51" spans="1:25" x14ac:dyDescent="0.25">
      <c r="A51" s="3">
        <v>47</v>
      </c>
      <c r="C51" s="7">
        <v>45391</v>
      </c>
      <c r="D51" s="3">
        <v>212</v>
      </c>
      <c r="E51" s="1">
        <v>556.61</v>
      </c>
      <c r="F51" s="3" t="s">
        <v>2</v>
      </c>
      <c r="G51" s="1">
        <f>19*32.6</f>
        <v>619.4</v>
      </c>
      <c r="H51" s="2">
        <v>45390.729166666664</v>
      </c>
      <c r="I51" s="2">
        <v>45391.048611111109</v>
      </c>
      <c r="J51" s="1">
        <f t="shared" si="0"/>
        <v>7.6666666666860692</v>
      </c>
      <c r="K51" s="1">
        <v>80.791304347621619</v>
      </c>
      <c r="L51" s="1">
        <v>32.6</v>
      </c>
      <c r="M51" s="1">
        <v>0</v>
      </c>
      <c r="N51" s="3" t="s">
        <v>3</v>
      </c>
      <c r="O51" s="3" t="s">
        <v>1</v>
      </c>
      <c r="P51" s="8" t="s">
        <v>15</v>
      </c>
      <c r="Q51" s="2">
        <v>45391.069305555553</v>
      </c>
      <c r="R51" s="2">
        <v>45391.235682870371</v>
      </c>
      <c r="S51" s="1"/>
      <c r="T51" s="1" t="s">
        <v>87</v>
      </c>
      <c r="U51" s="1">
        <v>5090</v>
      </c>
      <c r="V51" s="1">
        <v>4623.6000000000022</v>
      </c>
      <c r="W51" s="1">
        <v>47.6</v>
      </c>
      <c r="X51" s="1">
        <v>138</v>
      </c>
      <c r="Y51" s="1">
        <v>18</v>
      </c>
    </row>
    <row r="52" spans="1:25" x14ac:dyDescent="0.25">
      <c r="A52" s="3">
        <v>48</v>
      </c>
      <c r="C52" s="7">
        <v>45392</v>
      </c>
      <c r="D52" s="3">
        <v>214</v>
      </c>
      <c r="E52" s="1">
        <v>560.21</v>
      </c>
      <c r="F52" s="3" t="s">
        <v>9</v>
      </c>
      <c r="G52" s="1">
        <f>6*27</f>
        <v>162</v>
      </c>
      <c r="H52" s="2">
        <v>45391.385416666664</v>
      </c>
      <c r="I52" s="2">
        <v>45391.489583333336</v>
      </c>
      <c r="J52" s="1">
        <f t="shared" si="0"/>
        <v>2.5000000001164153</v>
      </c>
      <c r="K52" s="1">
        <v>64.799999996982521</v>
      </c>
      <c r="L52" s="1">
        <v>27</v>
      </c>
      <c r="M52" s="1">
        <v>0</v>
      </c>
      <c r="N52" s="3" t="s">
        <v>3</v>
      </c>
      <c r="O52" s="3" t="s">
        <v>1</v>
      </c>
      <c r="P52" s="8" t="s">
        <v>15</v>
      </c>
      <c r="Q52" s="2">
        <v>45391.482800925929</v>
      </c>
      <c r="R52" s="2">
        <v>45391.582731481481</v>
      </c>
      <c r="S52" s="1"/>
      <c r="T52" s="1" t="s">
        <v>87</v>
      </c>
      <c r="U52" s="1">
        <v>3675</v>
      </c>
      <c r="V52" s="1">
        <v>2979.5</v>
      </c>
      <c r="W52" s="1">
        <v>30.200000000000006</v>
      </c>
      <c r="X52" s="1">
        <v>83.299999999999969</v>
      </c>
      <c r="Y52" s="1">
        <v>6</v>
      </c>
    </row>
    <row r="53" spans="1:25" x14ac:dyDescent="0.25">
      <c r="A53" s="3">
        <v>49</v>
      </c>
      <c r="C53" s="7">
        <v>45392</v>
      </c>
      <c r="D53" s="3">
        <v>222</v>
      </c>
      <c r="E53" s="1">
        <v>574.61</v>
      </c>
      <c r="F53" s="3" t="s">
        <v>2</v>
      </c>
      <c r="G53" s="1">
        <v>724.29</v>
      </c>
      <c r="H53" s="2">
        <v>45392.0625</v>
      </c>
      <c r="I53" s="2">
        <v>45392.453472222223</v>
      </c>
      <c r="J53" s="1">
        <f t="shared" si="0"/>
        <v>9.3833333333604969</v>
      </c>
      <c r="K53" s="1">
        <v>77.188987566384</v>
      </c>
      <c r="L53" s="1">
        <v>27</v>
      </c>
      <c r="M53" s="1">
        <v>0</v>
      </c>
      <c r="N53" s="3" t="s">
        <v>3</v>
      </c>
      <c r="O53" s="3" t="s">
        <v>1</v>
      </c>
      <c r="P53" s="8" t="s">
        <v>15</v>
      </c>
      <c r="Q53" s="2">
        <v>45392.49790509259</v>
      </c>
      <c r="R53" s="2">
        <v>45392.874965277777</v>
      </c>
      <c r="S53" s="1"/>
      <c r="T53" s="1" t="s">
        <v>87</v>
      </c>
      <c r="U53" s="1">
        <v>24927</v>
      </c>
      <c r="V53" s="1">
        <v>19709</v>
      </c>
      <c r="W53" s="1">
        <v>207.8</v>
      </c>
      <c r="X53" s="1">
        <v>397.5</v>
      </c>
      <c r="Y53" s="1">
        <v>21</v>
      </c>
    </row>
    <row r="54" spans="1:25" x14ac:dyDescent="0.25">
      <c r="A54" s="3">
        <v>50</v>
      </c>
      <c r="C54" s="7">
        <v>45393</v>
      </c>
      <c r="D54" s="3">
        <v>224</v>
      </c>
      <c r="E54" s="1">
        <v>578.21</v>
      </c>
      <c r="F54" s="3" t="s">
        <v>9</v>
      </c>
      <c r="G54" s="1">
        <v>162</v>
      </c>
      <c r="H54" s="2">
        <v>45393.052083333336</v>
      </c>
      <c r="I54" s="2">
        <v>45393.145833333336</v>
      </c>
      <c r="J54" s="1">
        <f t="shared" si="0"/>
        <v>2.25</v>
      </c>
      <c r="K54" s="1">
        <v>72</v>
      </c>
      <c r="L54" s="1">
        <v>27</v>
      </c>
      <c r="M54" s="1">
        <v>0.3</v>
      </c>
      <c r="N54" s="3" t="s">
        <v>3</v>
      </c>
      <c r="O54" s="3" t="s">
        <v>1</v>
      </c>
      <c r="P54" s="8" t="s">
        <v>15</v>
      </c>
      <c r="Q54" s="2">
        <v>45393.153287037036</v>
      </c>
      <c r="R54" s="2">
        <v>45393.194525462961</v>
      </c>
      <c r="S54" s="1"/>
      <c r="T54" s="1" t="s">
        <v>87</v>
      </c>
      <c r="U54" s="1">
        <v>988</v>
      </c>
      <c r="V54" s="1">
        <v>1080.4000000000001</v>
      </c>
      <c r="W54" s="1">
        <v>10.8</v>
      </c>
      <c r="X54" s="1">
        <v>32</v>
      </c>
      <c r="Y54" s="1">
        <v>6</v>
      </c>
    </row>
    <row r="55" spans="1:25" x14ac:dyDescent="0.25">
      <c r="A55" s="3">
        <v>51</v>
      </c>
      <c r="C55" s="7">
        <v>45394</v>
      </c>
      <c r="D55" s="3">
        <v>232</v>
      </c>
      <c r="E55" s="1">
        <v>592.61</v>
      </c>
      <c r="F55" s="3" t="s">
        <v>2</v>
      </c>
      <c r="G55" s="1">
        <f>32.6*24</f>
        <v>782.40000000000009</v>
      </c>
      <c r="H55" s="2">
        <v>45393.659722222219</v>
      </c>
      <c r="I55" s="2">
        <v>45394.076388888891</v>
      </c>
      <c r="J55" s="1">
        <f t="shared" si="0"/>
        <v>10.000000000116415</v>
      </c>
      <c r="K55" s="1">
        <v>78.239999999089179</v>
      </c>
      <c r="L55" s="1">
        <v>32.6</v>
      </c>
      <c r="M55" s="1">
        <v>1</v>
      </c>
      <c r="N55" s="3" t="s">
        <v>3</v>
      </c>
      <c r="O55" s="3" t="s">
        <v>1</v>
      </c>
      <c r="P55" s="8" t="s">
        <v>15</v>
      </c>
      <c r="Q55" s="2">
        <v>45394.087013888886</v>
      </c>
      <c r="R55" s="2">
        <v>45394.459976851853</v>
      </c>
      <c r="S55" s="1"/>
      <c r="T55" s="1" t="s">
        <v>87</v>
      </c>
      <c r="U55" s="1">
        <v>15687</v>
      </c>
      <c r="V55" s="1">
        <v>13472.599999999999</v>
      </c>
      <c r="W55" s="1">
        <v>135.00000000000003</v>
      </c>
      <c r="X55" s="1">
        <v>290.7</v>
      </c>
      <c r="Y55" s="1">
        <v>24</v>
      </c>
    </row>
    <row r="56" spans="1:25" x14ac:dyDescent="0.25">
      <c r="A56" s="3">
        <v>52</v>
      </c>
      <c r="C56" s="7">
        <v>45394</v>
      </c>
      <c r="D56" s="3">
        <v>234</v>
      </c>
      <c r="E56" s="1">
        <v>596.21</v>
      </c>
      <c r="F56" s="3" t="s">
        <v>9</v>
      </c>
      <c r="G56" s="1">
        <v>166</v>
      </c>
      <c r="H56" s="2">
        <v>45394.680555555555</v>
      </c>
      <c r="I56" s="2">
        <v>45394.791666666664</v>
      </c>
      <c r="J56" s="1">
        <f t="shared" si="0"/>
        <v>2.6666666666278616</v>
      </c>
      <c r="K56" s="1">
        <v>62.250000000905857</v>
      </c>
      <c r="L56" s="1">
        <v>27</v>
      </c>
      <c r="M56" s="1">
        <v>0</v>
      </c>
      <c r="N56" s="3" t="s">
        <v>3</v>
      </c>
      <c r="O56" s="3" t="s">
        <v>1</v>
      </c>
      <c r="P56" s="8" t="s">
        <v>15</v>
      </c>
      <c r="Q56" s="2">
        <v>45394.810706018521</v>
      </c>
      <c r="R56" s="2">
        <v>45394.843634259261</v>
      </c>
      <c r="S56" s="1"/>
      <c r="T56" s="1" t="s">
        <v>87</v>
      </c>
      <c r="U56" s="1">
        <v>544</v>
      </c>
      <c r="V56" s="1">
        <v>541.4</v>
      </c>
      <c r="W56" s="1">
        <v>5.4</v>
      </c>
      <c r="X56" s="1">
        <v>16</v>
      </c>
      <c r="Y56" s="1">
        <v>6</v>
      </c>
    </row>
    <row r="57" spans="1:25" x14ac:dyDescent="0.25">
      <c r="A57" s="3">
        <v>53</v>
      </c>
      <c r="C57" s="7">
        <v>45395</v>
      </c>
      <c r="D57" s="3">
        <v>242</v>
      </c>
      <c r="E57" s="1">
        <v>610.61</v>
      </c>
      <c r="F57" s="3" t="s">
        <v>2</v>
      </c>
      <c r="G57" s="1">
        <v>705.6</v>
      </c>
      <c r="H57" s="2">
        <v>45395.263888888891</v>
      </c>
      <c r="I57" s="2">
        <v>45395.555555555555</v>
      </c>
      <c r="J57" s="1">
        <f t="shared" si="0"/>
        <v>6.9999999999417923</v>
      </c>
      <c r="K57" s="1">
        <v>100.8000000008382</v>
      </c>
      <c r="L57" s="1">
        <v>32.6</v>
      </c>
      <c r="M57" s="1">
        <v>6</v>
      </c>
      <c r="N57" s="3" t="s">
        <v>3</v>
      </c>
      <c r="O57" s="3" t="s">
        <v>1</v>
      </c>
      <c r="P57" s="8" t="s">
        <v>15</v>
      </c>
      <c r="Q57" s="2">
        <v>45395.54483796296</v>
      </c>
      <c r="R57" s="2">
        <v>45395.73746527778</v>
      </c>
      <c r="S57" s="1"/>
      <c r="T57" s="1" t="s">
        <v>87</v>
      </c>
      <c r="U57" s="1">
        <v>9238</v>
      </c>
      <c r="V57" s="1">
        <v>7158.7</v>
      </c>
      <c r="W57" s="1">
        <v>72</v>
      </c>
      <c r="X57" s="1">
        <v>177</v>
      </c>
      <c r="Y57" s="1">
        <v>22</v>
      </c>
    </row>
    <row r="58" spans="1:25" x14ac:dyDescent="0.25">
      <c r="A58" s="3">
        <v>54</v>
      </c>
      <c r="C58" s="7">
        <v>45395</v>
      </c>
      <c r="D58" s="3">
        <v>244</v>
      </c>
      <c r="E58" s="1">
        <v>614.21</v>
      </c>
      <c r="F58" s="3" t="s">
        <v>9</v>
      </c>
      <c r="G58" s="1">
        <f>6*27</f>
        <v>162</v>
      </c>
      <c r="H58" s="2">
        <v>45395.84375</v>
      </c>
      <c r="I58" s="2">
        <v>45395.923611111109</v>
      </c>
      <c r="J58" s="1">
        <f t="shared" si="0"/>
        <v>1.9166666666278616</v>
      </c>
      <c r="K58" s="1">
        <v>84.521739132146024</v>
      </c>
      <c r="L58" s="1">
        <v>27</v>
      </c>
      <c r="M58" s="1">
        <v>0</v>
      </c>
      <c r="N58" s="3" t="s">
        <v>3</v>
      </c>
      <c r="O58" s="3" t="s">
        <v>1</v>
      </c>
      <c r="P58" s="8" t="s">
        <v>15</v>
      </c>
      <c r="Q58" s="2">
        <v>45395.92260416667</v>
      </c>
      <c r="R58" s="2">
        <v>45395.944988425923</v>
      </c>
      <c r="S58" s="1"/>
      <c r="T58" s="1" t="s">
        <v>87</v>
      </c>
      <c r="U58" s="1">
        <v>676</v>
      </c>
      <c r="V58" s="1">
        <v>717.9</v>
      </c>
      <c r="W58" s="1">
        <v>9</v>
      </c>
      <c r="X58" s="1">
        <v>21</v>
      </c>
      <c r="Y58" s="1">
        <v>6</v>
      </c>
    </row>
    <row r="59" spans="1:25" x14ac:dyDescent="0.25">
      <c r="A59" s="3">
        <v>55</v>
      </c>
      <c r="C59" s="7">
        <v>45398</v>
      </c>
      <c r="D59" s="3">
        <v>252</v>
      </c>
      <c r="E59" s="1">
        <v>628.61</v>
      </c>
      <c r="F59" s="3" t="s">
        <v>2</v>
      </c>
      <c r="G59" s="1">
        <f>32.6*23</f>
        <v>749.80000000000007</v>
      </c>
      <c r="H59" s="2">
        <v>45398.0625</v>
      </c>
      <c r="I59" s="2">
        <v>45398.597222222219</v>
      </c>
      <c r="J59" s="1">
        <f t="shared" si="0"/>
        <v>12.833333333255723</v>
      </c>
      <c r="K59" s="1">
        <v>58.425974026327367</v>
      </c>
      <c r="L59" s="1">
        <v>32.6</v>
      </c>
      <c r="M59" s="1">
        <v>5</v>
      </c>
      <c r="N59" s="3" t="s">
        <v>3</v>
      </c>
      <c r="O59" s="3" t="s">
        <v>1</v>
      </c>
      <c r="P59" s="8" t="s">
        <v>16</v>
      </c>
      <c r="Q59" s="2">
        <v>45398.519629629627</v>
      </c>
      <c r="R59" s="2">
        <v>45398.888402777775</v>
      </c>
      <c r="S59" s="1"/>
      <c r="T59" s="1" t="s">
        <v>87</v>
      </c>
      <c r="U59" s="1">
        <v>17410</v>
      </c>
      <c r="V59" s="1">
        <v>13323</v>
      </c>
      <c r="W59" s="1">
        <v>133</v>
      </c>
      <c r="X59" s="1">
        <v>394</v>
      </c>
      <c r="Y59" s="1">
        <v>23</v>
      </c>
    </row>
    <row r="60" spans="1:25" x14ac:dyDescent="0.25">
      <c r="A60" s="3">
        <v>56</v>
      </c>
      <c r="C60" s="7">
        <v>45399</v>
      </c>
      <c r="D60" s="3">
        <v>254</v>
      </c>
      <c r="E60" s="1">
        <v>632.21</v>
      </c>
      <c r="F60" s="3" t="s">
        <v>9</v>
      </c>
      <c r="G60" s="1">
        <v>162</v>
      </c>
      <c r="H60" s="2">
        <v>45399.006944444445</v>
      </c>
      <c r="I60" s="2">
        <v>45399.088194444441</v>
      </c>
      <c r="J60" s="1">
        <f t="shared" si="0"/>
        <v>1.9499999998952262</v>
      </c>
      <c r="K60" s="1">
        <v>83.076923081386809</v>
      </c>
      <c r="L60" s="1">
        <v>27</v>
      </c>
      <c r="M60" s="1">
        <v>0</v>
      </c>
      <c r="N60" s="3" t="s">
        <v>3</v>
      </c>
      <c r="O60" s="3" t="s">
        <v>1</v>
      </c>
      <c r="P60" s="8" t="s">
        <v>16</v>
      </c>
      <c r="Q60" s="2">
        <v>45399.120208333334</v>
      </c>
      <c r="R60" s="2">
        <v>45399.180590277778</v>
      </c>
      <c r="S60" s="1"/>
      <c r="T60" s="1" t="s">
        <v>87</v>
      </c>
      <c r="U60" s="1">
        <v>2324</v>
      </c>
      <c r="V60" s="1">
        <v>1720</v>
      </c>
      <c r="W60" s="1">
        <v>17</v>
      </c>
      <c r="X60" s="1">
        <v>51</v>
      </c>
      <c r="Y60" s="1">
        <v>6</v>
      </c>
    </row>
    <row r="61" spans="1:25" x14ac:dyDescent="0.25">
      <c r="A61" s="3">
        <v>57</v>
      </c>
      <c r="C61" s="7">
        <v>45400</v>
      </c>
      <c r="D61" s="3">
        <v>262</v>
      </c>
      <c r="E61" s="1">
        <v>646.61</v>
      </c>
      <c r="F61" s="3" t="s">
        <v>2</v>
      </c>
      <c r="G61" s="1">
        <v>487.4</v>
      </c>
      <c r="H61" s="2">
        <v>45399.708333333336</v>
      </c>
      <c r="I61" s="2">
        <v>45400.173611111109</v>
      </c>
      <c r="J61" s="1">
        <f t="shared" si="0"/>
        <v>11.166666666569654</v>
      </c>
      <c r="K61" s="1">
        <v>43.64776119440905</v>
      </c>
      <c r="L61" s="1">
        <v>32.6</v>
      </c>
      <c r="M61" s="1">
        <v>0.8</v>
      </c>
      <c r="N61" s="3" t="s">
        <v>3</v>
      </c>
      <c r="O61" s="3" t="s">
        <v>1</v>
      </c>
      <c r="P61" s="8" t="s">
        <v>16</v>
      </c>
      <c r="Q61" s="2">
        <v>45400.173819444448</v>
      </c>
      <c r="R61" s="2">
        <v>45400.410798611112</v>
      </c>
      <c r="S61" s="1"/>
      <c r="T61" s="1" t="s">
        <v>87</v>
      </c>
      <c r="U61" s="1">
        <v>8164</v>
      </c>
      <c r="V61" s="1">
        <v>6204</v>
      </c>
      <c r="W61" s="1">
        <v>64</v>
      </c>
      <c r="X61" s="1">
        <v>189</v>
      </c>
      <c r="Y61" s="1">
        <v>12</v>
      </c>
    </row>
    <row r="62" spans="1:25" x14ac:dyDescent="0.25">
      <c r="A62" s="3">
        <v>58</v>
      </c>
      <c r="C62" s="7">
        <v>45400</v>
      </c>
      <c r="D62" s="3">
        <v>264</v>
      </c>
      <c r="E62" s="1">
        <v>650.21</v>
      </c>
      <c r="F62" s="3" t="s">
        <v>9</v>
      </c>
      <c r="G62" s="1">
        <v>290</v>
      </c>
      <c r="H62" s="2">
        <v>45400.708333333336</v>
      </c>
      <c r="I62" s="2">
        <v>45400.947916666664</v>
      </c>
      <c r="J62" s="1">
        <f t="shared" si="0"/>
        <v>5.7499999998835847</v>
      </c>
      <c r="K62" s="1">
        <v>50.434782609716763</v>
      </c>
      <c r="L62" s="1">
        <v>27</v>
      </c>
      <c r="M62" s="1">
        <v>0</v>
      </c>
      <c r="N62" s="3" t="s">
        <v>3</v>
      </c>
      <c r="O62" s="3" t="s">
        <v>1</v>
      </c>
      <c r="P62" s="8" t="s">
        <v>16</v>
      </c>
      <c r="Q62" s="2">
        <v>45400.955648148149</v>
      </c>
      <c r="R62" s="2">
        <v>45401.047372685185</v>
      </c>
      <c r="S62" s="1"/>
      <c r="T62" s="1" t="s">
        <v>87</v>
      </c>
      <c r="U62" s="1">
        <v>4119</v>
      </c>
      <c r="V62" s="1">
        <v>2862</v>
      </c>
      <c r="W62" s="1">
        <v>33</v>
      </c>
      <c r="X62" s="1">
        <v>97</v>
      </c>
      <c r="Y62" s="1">
        <v>10</v>
      </c>
    </row>
    <row r="63" spans="1:25" x14ac:dyDescent="0.25">
      <c r="A63" s="3">
        <v>59</v>
      </c>
      <c r="C63" s="7">
        <v>45402</v>
      </c>
      <c r="D63" s="3">
        <v>272</v>
      </c>
      <c r="E63" s="1">
        <v>664.61</v>
      </c>
      <c r="F63" s="3" t="s">
        <v>2</v>
      </c>
      <c r="G63" s="1">
        <v>684.6</v>
      </c>
      <c r="H63" s="2">
        <v>45401.857638888891</v>
      </c>
      <c r="I63" s="2">
        <v>45402.201388888891</v>
      </c>
      <c r="J63" s="1">
        <f t="shared" si="0"/>
        <v>8.25</v>
      </c>
      <c r="K63" s="1">
        <v>82.981818181818184</v>
      </c>
      <c r="L63" s="1">
        <v>32.6</v>
      </c>
      <c r="M63" s="1">
        <v>0.5</v>
      </c>
      <c r="N63" s="3" t="s">
        <v>3</v>
      </c>
      <c r="O63" s="3" t="s">
        <v>1</v>
      </c>
      <c r="P63" s="8" t="s">
        <v>15</v>
      </c>
      <c r="Q63" s="2">
        <v>45402.197592592594</v>
      </c>
      <c r="R63" s="2">
        <v>45402.616550925923</v>
      </c>
      <c r="S63" s="1"/>
      <c r="T63" s="1" t="s">
        <v>87</v>
      </c>
      <c r="U63" s="1">
        <v>19463</v>
      </c>
      <c r="V63" s="1">
        <v>14826.4</v>
      </c>
      <c r="W63" s="1">
        <v>149.4</v>
      </c>
      <c r="X63" s="1">
        <v>564.29999999999995</v>
      </c>
      <c r="Y63" s="1">
        <v>20</v>
      </c>
    </row>
    <row r="64" spans="1:25" x14ac:dyDescent="0.25">
      <c r="A64" s="3">
        <v>60</v>
      </c>
      <c r="C64" s="7">
        <v>45402</v>
      </c>
      <c r="D64" s="3">
        <v>274</v>
      </c>
      <c r="E64" s="1">
        <v>668.21</v>
      </c>
      <c r="F64" s="3" t="s">
        <v>9</v>
      </c>
      <c r="G64" s="1">
        <v>162</v>
      </c>
      <c r="H64" s="2">
        <v>45402.739583333336</v>
      </c>
      <c r="I64" s="2">
        <v>45402.822916666664</v>
      </c>
      <c r="J64" s="1">
        <f t="shared" si="0"/>
        <v>1.9999999998835847</v>
      </c>
      <c r="K64" s="1">
        <v>81.000000004714821</v>
      </c>
      <c r="L64" s="1">
        <v>27</v>
      </c>
      <c r="M64" s="1">
        <v>0</v>
      </c>
      <c r="N64" s="3" t="s">
        <v>3</v>
      </c>
      <c r="O64" s="3" t="s">
        <v>1</v>
      </c>
      <c r="P64" s="8" t="s">
        <v>15</v>
      </c>
      <c r="Q64" s="2">
        <v>45402.830208333333</v>
      </c>
      <c r="R64" s="2">
        <v>45402.860543981478</v>
      </c>
      <c r="S64" s="1"/>
      <c r="T64" s="1" t="s">
        <v>87</v>
      </c>
      <c r="U64" s="1">
        <v>1315</v>
      </c>
      <c r="V64" s="1">
        <v>940</v>
      </c>
      <c r="W64" s="1">
        <v>9</v>
      </c>
      <c r="X64" s="1">
        <v>28</v>
      </c>
      <c r="Y64" s="1">
        <v>6</v>
      </c>
    </row>
    <row r="65" spans="1:25" x14ac:dyDescent="0.25">
      <c r="A65" s="3">
        <v>61</v>
      </c>
      <c r="C65" s="7">
        <v>45403</v>
      </c>
      <c r="D65" s="3">
        <v>282</v>
      </c>
      <c r="E65" s="1">
        <v>682.61</v>
      </c>
      <c r="F65" s="3" t="s">
        <v>2</v>
      </c>
      <c r="G65" s="1">
        <v>714.7</v>
      </c>
      <c r="H65" s="2">
        <v>45404.5625</v>
      </c>
      <c r="I65" s="2">
        <v>45404.958333333336</v>
      </c>
      <c r="J65" s="1">
        <f t="shared" si="0"/>
        <v>9.5000000000582077</v>
      </c>
      <c r="K65" s="1">
        <v>75.231578946907476</v>
      </c>
      <c r="L65" s="1">
        <v>32.6</v>
      </c>
      <c r="M65" s="1">
        <v>5.5</v>
      </c>
      <c r="N65" s="3" t="s">
        <v>3</v>
      </c>
      <c r="O65" s="3" t="s">
        <v>1</v>
      </c>
      <c r="P65" s="8" t="s">
        <v>15</v>
      </c>
      <c r="Q65" s="2">
        <v>45404.999537037038</v>
      </c>
      <c r="R65" s="2">
        <v>45405.331064814818</v>
      </c>
      <c r="S65" s="1"/>
      <c r="T65" s="1" t="s">
        <v>87</v>
      </c>
      <c r="U65" s="1">
        <v>12840</v>
      </c>
      <c r="V65" s="1">
        <v>10773.199999999995</v>
      </c>
      <c r="W65" s="1">
        <v>118.20000000000002</v>
      </c>
      <c r="X65" s="1">
        <v>346.8</v>
      </c>
      <c r="Y65" s="1">
        <v>21</v>
      </c>
    </row>
    <row r="66" spans="1:25" x14ac:dyDescent="0.25">
      <c r="A66" s="3">
        <v>62</v>
      </c>
      <c r="C66" s="7">
        <v>45405</v>
      </c>
      <c r="D66" s="3">
        <v>284</v>
      </c>
      <c r="E66" s="1">
        <v>686.21</v>
      </c>
      <c r="F66" s="3" t="s">
        <v>9</v>
      </c>
      <c r="G66" s="1">
        <v>164</v>
      </c>
      <c r="H66" s="2">
        <v>45405.625</v>
      </c>
      <c r="I66" s="2">
        <v>45405.715277777781</v>
      </c>
      <c r="J66" s="1">
        <f t="shared" ref="J66:J129" si="1">(I66-H66)*24</f>
        <v>2.1666666667442769</v>
      </c>
      <c r="K66" s="1">
        <v>75.69230768959639</v>
      </c>
      <c r="L66" s="1">
        <v>27</v>
      </c>
      <c r="M66" s="1">
        <v>0</v>
      </c>
      <c r="N66" s="3" t="s">
        <v>3</v>
      </c>
      <c r="O66" s="3" t="s">
        <v>1</v>
      </c>
      <c r="P66" s="8" t="s">
        <v>15</v>
      </c>
      <c r="Q66" s="2">
        <v>45405.736111111109</v>
      </c>
      <c r="R66" s="2">
        <v>45405.827777777777</v>
      </c>
      <c r="S66" s="1"/>
      <c r="T66" s="1" t="str">
        <f>T64</f>
        <v>Norcem Micro</v>
      </c>
      <c r="U66" s="1">
        <v>3345</v>
      </c>
      <c r="V66" s="1">
        <v>2462.3000000000011</v>
      </c>
      <c r="W66" s="1">
        <v>24.9</v>
      </c>
      <c r="X66" s="1">
        <v>75.199999999999989</v>
      </c>
      <c r="Y66" s="1">
        <v>6</v>
      </c>
    </row>
    <row r="67" spans="1:25" x14ac:dyDescent="0.25">
      <c r="A67" s="3">
        <v>63</v>
      </c>
      <c r="C67" s="7">
        <v>45406</v>
      </c>
      <c r="D67" s="3">
        <v>292</v>
      </c>
      <c r="E67" s="1">
        <v>700.61</v>
      </c>
      <c r="F67" s="3" t="s">
        <v>2</v>
      </c>
      <c r="G67" s="1">
        <v>725.2</v>
      </c>
      <c r="H67" s="2">
        <v>45406.243055555555</v>
      </c>
      <c r="I67" s="2">
        <v>45406.6875</v>
      </c>
      <c r="J67" s="1">
        <f t="shared" si="1"/>
        <v>10.666666666686069</v>
      </c>
      <c r="K67" s="1">
        <v>67.987499999876334</v>
      </c>
      <c r="L67" s="1">
        <v>32.6</v>
      </c>
      <c r="M67" s="1">
        <v>0</v>
      </c>
      <c r="N67" s="3" t="s">
        <v>3</v>
      </c>
      <c r="O67" s="3" t="s">
        <v>1</v>
      </c>
      <c r="P67" s="8" t="s">
        <v>15</v>
      </c>
      <c r="Q67" s="2">
        <v>45406.65792824074</v>
      </c>
      <c r="R67" s="2">
        <v>45407.06826388889</v>
      </c>
      <c r="S67" s="1"/>
      <c r="T67" s="1" t="str">
        <f>T66</f>
        <v>Norcem Micro</v>
      </c>
      <c r="U67" s="1">
        <v>22479</v>
      </c>
      <c r="V67" s="1">
        <v>17507.300000000003</v>
      </c>
      <c r="W67" s="1">
        <v>180.10000000000002</v>
      </c>
      <c r="X67" s="1">
        <v>474.1</v>
      </c>
      <c r="Y67" s="1">
        <v>22</v>
      </c>
    </row>
    <row r="68" spans="1:25" x14ac:dyDescent="0.25">
      <c r="A68" s="3">
        <v>64</v>
      </c>
      <c r="C68" s="7">
        <v>45407</v>
      </c>
      <c r="D68" s="3">
        <v>294</v>
      </c>
      <c r="E68" s="1">
        <v>704.21</v>
      </c>
      <c r="F68" s="3" t="s">
        <v>9</v>
      </c>
      <c r="G68" s="1">
        <f>6*27</f>
        <v>162</v>
      </c>
      <c r="H68" s="2">
        <v>45407.319444444445</v>
      </c>
      <c r="I68" s="2">
        <v>45407.510416666664</v>
      </c>
      <c r="J68" s="1">
        <f t="shared" si="1"/>
        <v>4.5833333332557231</v>
      </c>
      <c r="K68" s="1">
        <v>35.345454546053055</v>
      </c>
      <c r="L68" s="1">
        <v>27</v>
      </c>
      <c r="M68" s="1">
        <v>0</v>
      </c>
      <c r="N68" s="3" t="s">
        <v>3</v>
      </c>
      <c r="O68" s="3" t="s">
        <v>1</v>
      </c>
      <c r="P68" s="8" t="s">
        <v>15</v>
      </c>
      <c r="Q68" s="2">
        <v>45407.523252314815</v>
      </c>
      <c r="R68" s="2">
        <v>45407.55773148148</v>
      </c>
      <c r="S68" s="1"/>
      <c r="T68" s="1" t="str">
        <f>T66</f>
        <v>Norcem Micro</v>
      </c>
      <c r="U68" s="1">
        <v>1119</v>
      </c>
      <c r="V68" s="1">
        <v>741</v>
      </c>
      <c r="W68" s="1">
        <v>7</v>
      </c>
      <c r="X68" s="1">
        <v>38</v>
      </c>
      <c r="Y68" s="1">
        <v>21</v>
      </c>
    </row>
    <row r="69" spans="1:25" x14ac:dyDescent="0.25">
      <c r="A69" s="3">
        <v>65</v>
      </c>
      <c r="C69" s="7">
        <v>45407</v>
      </c>
      <c r="D69" s="3">
        <v>296</v>
      </c>
      <c r="E69" s="1">
        <v>707.81</v>
      </c>
      <c r="F69" s="3" t="s">
        <v>9</v>
      </c>
      <c r="G69" s="1">
        <f>6*24</f>
        <v>144</v>
      </c>
      <c r="H69" s="2">
        <v>45407.836805555555</v>
      </c>
      <c r="I69" s="2">
        <v>45407.954861111109</v>
      </c>
      <c r="J69" s="1">
        <f t="shared" si="1"/>
        <v>2.8333333333139308</v>
      </c>
      <c r="K69" s="1">
        <v>50.823529412112741</v>
      </c>
      <c r="L69" s="1">
        <v>24</v>
      </c>
      <c r="M69" s="1">
        <v>1.5</v>
      </c>
      <c r="N69" s="3" t="s">
        <v>3</v>
      </c>
      <c r="O69" s="3" t="s">
        <v>1</v>
      </c>
      <c r="P69" s="8" t="s">
        <v>15</v>
      </c>
      <c r="Q69" s="2">
        <v>45407.972222222219</v>
      </c>
      <c r="R69" s="2">
        <v>45408.097222222219</v>
      </c>
      <c r="S69" s="1"/>
      <c r="T69" s="1" t="str">
        <f>T67</f>
        <v>Norcem Micro</v>
      </c>
      <c r="U69" s="1">
        <v>6414</v>
      </c>
      <c r="V69" s="1">
        <v>5063</v>
      </c>
      <c r="W69" s="1">
        <v>51</v>
      </c>
      <c r="X69" s="1">
        <v>129</v>
      </c>
      <c r="Y69" s="1">
        <v>6</v>
      </c>
    </row>
    <row r="70" spans="1:25" x14ac:dyDescent="0.25">
      <c r="A70" s="3">
        <v>66</v>
      </c>
      <c r="C70" s="7">
        <v>45409</v>
      </c>
      <c r="D70" s="3">
        <v>302</v>
      </c>
      <c r="E70" s="1">
        <v>718.61</v>
      </c>
      <c r="F70" s="3" t="s">
        <v>2</v>
      </c>
      <c r="G70" s="1">
        <f>32.6*21+28.5</f>
        <v>713.1</v>
      </c>
      <c r="H70" s="2">
        <v>45408.722222222219</v>
      </c>
      <c r="I70" s="2">
        <v>45409.263888888891</v>
      </c>
      <c r="J70" s="1">
        <f t="shared" si="1"/>
        <v>13.000000000116415</v>
      </c>
      <c r="K70" s="1">
        <v>54.853846153354937</v>
      </c>
      <c r="L70" s="1">
        <v>32.6</v>
      </c>
      <c r="M70" s="1">
        <v>0</v>
      </c>
      <c r="N70" s="3" t="s">
        <v>3</v>
      </c>
      <c r="O70" s="3" t="s">
        <v>1</v>
      </c>
      <c r="P70" s="8" t="s">
        <v>15</v>
      </c>
      <c r="Q70" s="2">
        <v>45409.254733796297</v>
      </c>
      <c r="R70" s="2">
        <v>45409.45412037037</v>
      </c>
      <c r="S70" s="1"/>
      <c r="T70" s="1" t="str">
        <f t="shared" ref="T70:T90" si="2">T69</f>
        <v>Norcem Micro</v>
      </c>
      <c r="U70" s="1">
        <f>92+65+54+52+268+521+769+511+402+765+136+823+451+504+174+511+493+111+51+2+781+22+584+754+501+1085+91+522+377+54</f>
        <v>11526</v>
      </c>
      <c r="V70" s="1">
        <v>9785.7999999999993</v>
      </c>
      <c r="W70" s="1">
        <v>95.6</v>
      </c>
      <c r="X70" s="1">
        <v>217.6</v>
      </c>
      <c r="Y70" s="1">
        <v>22</v>
      </c>
    </row>
    <row r="71" spans="1:25" x14ac:dyDescent="0.25">
      <c r="A71" s="3">
        <v>67</v>
      </c>
      <c r="C71" s="7">
        <v>45409</v>
      </c>
      <c r="D71" s="3">
        <v>304</v>
      </c>
      <c r="E71" s="1">
        <v>722.21</v>
      </c>
      <c r="F71" s="3" t="s">
        <v>9</v>
      </c>
      <c r="G71" s="1">
        <v>38</v>
      </c>
      <c r="H71" s="2">
        <v>45409.630393518499</v>
      </c>
      <c r="I71" s="2">
        <v>45409.698275463001</v>
      </c>
      <c r="J71" s="1">
        <f t="shared" si="1"/>
        <v>1.6291666680481285</v>
      </c>
      <c r="K71" s="1">
        <v>23.324808164364811</v>
      </c>
      <c r="L71" s="1">
        <v>27</v>
      </c>
      <c r="M71" s="1">
        <v>0</v>
      </c>
      <c r="N71" s="3" t="s">
        <v>3</v>
      </c>
      <c r="O71" s="3" t="s">
        <v>1</v>
      </c>
      <c r="P71" s="8" t="s">
        <v>15</v>
      </c>
      <c r="S71" s="1"/>
      <c r="T71" s="1" t="str">
        <f t="shared" si="2"/>
        <v>Norcem Micro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x14ac:dyDescent="0.25">
      <c r="A72" s="3">
        <v>68</v>
      </c>
      <c r="C72" s="7">
        <v>45412</v>
      </c>
      <c r="D72" s="3">
        <v>312</v>
      </c>
      <c r="E72" s="1">
        <v>736.61</v>
      </c>
      <c r="F72" s="3" t="s">
        <v>2</v>
      </c>
      <c r="G72" s="1">
        <f>22*32.6</f>
        <v>717.2</v>
      </c>
      <c r="H72" s="2">
        <v>45412.25</v>
      </c>
      <c r="I72" s="2">
        <v>45412.506944444445</v>
      </c>
      <c r="J72" s="1">
        <f t="shared" si="1"/>
        <v>6.1666666666860692</v>
      </c>
      <c r="K72" s="1">
        <v>116.30270270233677</v>
      </c>
      <c r="L72" s="1">
        <v>27</v>
      </c>
      <c r="M72" s="1">
        <v>0</v>
      </c>
      <c r="N72" s="3" t="s">
        <v>3</v>
      </c>
      <c r="O72" s="3" t="s">
        <v>1</v>
      </c>
      <c r="P72" s="8" t="s">
        <v>15</v>
      </c>
      <c r="Q72" s="2">
        <v>45412.510949074072</v>
      </c>
      <c r="R72" s="2">
        <v>45412.926493055558</v>
      </c>
      <c r="S72" s="1"/>
      <c r="T72" s="1" t="str">
        <f t="shared" si="2"/>
        <v>Norcem Micro</v>
      </c>
      <c r="U72" s="1">
        <v>20520</v>
      </c>
      <c r="V72" s="1">
        <v>16754.599999999995</v>
      </c>
      <c r="W72" s="1">
        <v>168.4</v>
      </c>
      <c r="X72" s="1">
        <v>432.1</v>
      </c>
      <c r="Y72" s="1">
        <v>23</v>
      </c>
    </row>
    <row r="73" spans="1:25" x14ac:dyDescent="0.25">
      <c r="A73" s="3">
        <v>69</v>
      </c>
      <c r="C73" s="7">
        <v>45414</v>
      </c>
      <c r="D73" s="3">
        <v>314</v>
      </c>
      <c r="E73" s="1">
        <v>740.21</v>
      </c>
      <c r="F73" s="3" t="s">
        <v>9</v>
      </c>
      <c r="G73" s="1">
        <f>6*27</f>
        <v>162</v>
      </c>
      <c r="H73" s="2">
        <v>45414.164583333331</v>
      </c>
      <c r="I73" s="2">
        <v>45414.25</v>
      </c>
      <c r="J73" s="1">
        <f t="shared" si="1"/>
        <v>2.0500000000465661</v>
      </c>
      <c r="K73" s="1">
        <v>79.024390242107387</v>
      </c>
      <c r="L73" s="1">
        <v>27</v>
      </c>
      <c r="M73" s="1">
        <v>0</v>
      </c>
      <c r="N73" s="3" t="s">
        <v>3</v>
      </c>
      <c r="O73" s="3" t="s">
        <v>1</v>
      </c>
      <c r="P73" s="8" t="s">
        <v>15</v>
      </c>
      <c r="Q73" s="2">
        <v>45414.378576388888</v>
      </c>
      <c r="R73" s="2">
        <v>45414.421493055554</v>
      </c>
      <c r="S73" s="1"/>
      <c r="T73" s="1" t="str">
        <f t="shared" si="2"/>
        <v>Norcem Micro</v>
      </c>
      <c r="U73" s="1">
        <v>387</v>
      </c>
      <c r="V73" s="1">
        <v>540.40000000000009</v>
      </c>
      <c r="W73" s="1">
        <v>5.4</v>
      </c>
      <c r="X73" s="1">
        <v>16</v>
      </c>
      <c r="Y73" s="1">
        <v>6</v>
      </c>
    </row>
    <row r="74" spans="1:25" x14ac:dyDescent="0.25">
      <c r="A74" s="3">
        <v>70</v>
      </c>
      <c r="C74" s="7">
        <v>45415</v>
      </c>
      <c r="D74" s="3">
        <v>322</v>
      </c>
      <c r="E74" s="1">
        <v>754.61</v>
      </c>
      <c r="F74" s="3" t="s">
        <v>2</v>
      </c>
      <c r="G74" s="1">
        <f>21*32.6+13.5+28</f>
        <v>726.1</v>
      </c>
      <c r="H74" s="2">
        <v>45414.810416666667</v>
      </c>
      <c r="I74" s="2">
        <v>45415.518750000003</v>
      </c>
      <c r="J74" s="1">
        <f t="shared" si="1"/>
        <v>17.000000000058208</v>
      </c>
      <c r="K74" s="1">
        <v>42.711764705736108</v>
      </c>
      <c r="L74" s="1">
        <v>32.6</v>
      </c>
      <c r="M74" s="1">
        <v>10.7</v>
      </c>
      <c r="N74" s="3" t="s">
        <v>3</v>
      </c>
      <c r="O74" s="3" t="s">
        <v>1</v>
      </c>
      <c r="P74" s="8" t="s">
        <v>15</v>
      </c>
      <c r="Q74" s="2">
        <v>45415.542858796296</v>
      </c>
      <c r="R74" s="2">
        <v>45415.823182870372</v>
      </c>
      <c r="S74" s="1"/>
      <c r="T74" s="1" t="str">
        <f t="shared" si="2"/>
        <v>Norcem Micro</v>
      </c>
      <c r="U74" s="1">
        <v>14733</v>
      </c>
      <c r="V74" s="1">
        <v>12147.999999999998</v>
      </c>
      <c r="W74" s="1">
        <v>123.40000000000005</v>
      </c>
      <c r="X74" s="1">
        <v>323.8</v>
      </c>
      <c r="Y74" s="1">
        <v>11</v>
      </c>
    </row>
    <row r="75" spans="1:25" x14ac:dyDescent="0.25">
      <c r="A75" s="3">
        <v>71</v>
      </c>
      <c r="C75" s="7">
        <v>45416</v>
      </c>
      <c r="D75" s="3">
        <v>324</v>
      </c>
      <c r="E75" s="1">
        <v>758.21</v>
      </c>
      <c r="F75" s="3" t="s">
        <v>9</v>
      </c>
      <c r="G75" s="1">
        <f>6*27</f>
        <v>162</v>
      </c>
      <c r="H75" s="2">
        <v>45416.593055555553</v>
      </c>
      <c r="I75" s="2">
        <v>45416.75</v>
      </c>
      <c r="J75" s="1">
        <f t="shared" si="1"/>
        <v>3.7666666667209938</v>
      </c>
      <c r="K75" s="1">
        <v>43.008849556901801</v>
      </c>
      <c r="L75" s="1">
        <v>27</v>
      </c>
      <c r="M75" s="1">
        <v>0</v>
      </c>
      <c r="N75" s="3" t="s">
        <v>3</v>
      </c>
      <c r="O75" s="3" t="s">
        <v>1</v>
      </c>
      <c r="P75" s="8" t="s">
        <v>15</v>
      </c>
      <c r="Q75" s="2">
        <v>45416.162939814814</v>
      </c>
      <c r="R75" s="2">
        <v>45416.26871527778</v>
      </c>
      <c r="S75" s="1"/>
      <c r="T75" s="1" t="str">
        <f t="shared" si="2"/>
        <v>Norcem Micro</v>
      </c>
      <c r="U75" s="1">
        <v>4125</v>
      </c>
      <c r="V75" s="1">
        <v>3221.7</v>
      </c>
      <c r="W75" s="1">
        <v>32.399999999999991</v>
      </c>
      <c r="X75" s="1">
        <v>71.59999999999998</v>
      </c>
      <c r="Y75" s="1">
        <v>6</v>
      </c>
    </row>
    <row r="76" spans="1:25" x14ac:dyDescent="0.25">
      <c r="A76" s="3">
        <v>72</v>
      </c>
      <c r="C76" s="7">
        <v>45418</v>
      </c>
      <c r="D76" s="3">
        <v>331</v>
      </c>
      <c r="E76" s="1">
        <v>770.81</v>
      </c>
      <c r="F76" s="3" t="s">
        <v>2</v>
      </c>
      <c r="G76" s="1">
        <f>19*32.6</f>
        <v>619.4</v>
      </c>
      <c r="H76" s="2">
        <v>45418.310416666667</v>
      </c>
      <c r="I76" s="2">
        <v>45418.479166666664</v>
      </c>
      <c r="J76" s="1">
        <f t="shared" si="1"/>
        <v>4.0499999999301508</v>
      </c>
      <c r="K76" s="1">
        <v>152.93827160757596</v>
      </c>
      <c r="L76" s="1">
        <v>24</v>
      </c>
      <c r="M76" s="1">
        <v>0</v>
      </c>
      <c r="N76" s="3" t="s">
        <v>3</v>
      </c>
      <c r="O76" s="3" t="s">
        <v>1</v>
      </c>
      <c r="P76" s="8" t="s">
        <v>7</v>
      </c>
      <c r="Q76" s="2">
        <v>45418.470405092594</v>
      </c>
      <c r="R76" s="2">
        <v>45418.76358796296</v>
      </c>
      <c r="S76" s="1"/>
      <c r="T76" s="1" t="str">
        <f t="shared" si="2"/>
        <v>Norcem Micro</v>
      </c>
      <c r="U76" s="1">
        <v>19867</v>
      </c>
      <c r="V76" s="1">
        <v>14867</v>
      </c>
      <c r="W76" s="1">
        <v>151</v>
      </c>
      <c r="X76" s="1">
        <v>403</v>
      </c>
      <c r="Y76" s="1">
        <v>19</v>
      </c>
    </row>
    <row r="77" spans="1:25" x14ac:dyDescent="0.25">
      <c r="A77" s="3">
        <v>73</v>
      </c>
      <c r="C77" s="7">
        <v>45418</v>
      </c>
      <c r="D77" s="3">
        <v>333</v>
      </c>
      <c r="E77" s="1">
        <v>774.41</v>
      </c>
      <c r="F77" s="3" t="s">
        <v>9</v>
      </c>
      <c r="G77" s="1">
        <f>24*5+15</f>
        <v>135</v>
      </c>
      <c r="H77" s="2">
        <v>45418.902777777781</v>
      </c>
      <c r="I77" s="2">
        <v>45418.965277777781</v>
      </c>
      <c r="J77" s="1">
        <f t="shared" si="1"/>
        <v>1.5</v>
      </c>
      <c r="K77" s="1">
        <v>90</v>
      </c>
      <c r="L77" s="1">
        <v>27</v>
      </c>
      <c r="M77" s="1">
        <v>0</v>
      </c>
      <c r="N77" s="3" t="s">
        <v>3</v>
      </c>
      <c r="O77" s="3" t="s">
        <v>1</v>
      </c>
      <c r="P77" s="8" t="s">
        <v>7</v>
      </c>
      <c r="Q77" s="2">
        <v>45418.979768518519</v>
      </c>
      <c r="R77" s="2">
        <v>45418.996087962965</v>
      </c>
      <c r="S77" s="1"/>
      <c r="T77" s="1" t="str">
        <f t="shared" si="2"/>
        <v>Norcem Micro</v>
      </c>
      <c r="U77" s="1">
        <v>681</v>
      </c>
      <c r="V77" s="1">
        <v>539.9</v>
      </c>
      <c r="W77" s="1">
        <v>5.4</v>
      </c>
      <c r="X77" s="1">
        <v>16.000000000000004</v>
      </c>
      <c r="Y77" s="1">
        <v>4</v>
      </c>
    </row>
    <row r="78" spans="1:25" x14ac:dyDescent="0.25">
      <c r="A78" s="3">
        <v>74</v>
      </c>
      <c r="C78" s="7">
        <v>45419</v>
      </c>
      <c r="D78" s="3">
        <v>341</v>
      </c>
      <c r="E78" s="1">
        <v>788.81</v>
      </c>
      <c r="F78" s="3" t="s">
        <v>2</v>
      </c>
      <c r="G78" s="1">
        <f>20*32.6</f>
        <v>652</v>
      </c>
      <c r="H78" s="2">
        <v>45419.666666666664</v>
      </c>
      <c r="I78" s="2">
        <v>45420.006944444445</v>
      </c>
      <c r="J78" s="1">
        <f t="shared" si="1"/>
        <v>8.1666666667442769</v>
      </c>
      <c r="K78" s="1">
        <v>79.836734693118842</v>
      </c>
      <c r="L78" s="1">
        <v>27</v>
      </c>
      <c r="M78" s="1">
        <v>0</v>
      </c>
      <c r="N78" s="3" t="s">
        <v>3</v>
      </c>
      <c r="O78" s="3" t="s">
        <v>1</v>
      </c>
      <c r="P78" s="8" t="s">
        <v>17</v>
      </c>
      <c r="Q78" s="2">
        <v>45420.02721064815</v>
      </c>
      <c r="R78" s="2">
        <v>45420.175324074073</v>
      </c>
      <c r="S78" s="1"/>
      <c r="T78" s="1" t="str">
        <f t="shared" si="2"/>
        <v>Norcem Micro</v>
      </c>
      <c r="U78" s="1">
        <v>7139</v>
      </c>
      <c r="V78" s="1">
        <v>5602</v>
      </c>
      <c r="W78" s="1">
        <v>76</v>
      </c>
      <c r="X78" s="1">
        <v>224</v>
      </c>
      <c r="Y78" s="1">
        <v>21</v>
      </c>
    </row>
    <row r="79" spans="1:25" x14ac:dyDescent="0.25">
      <c r="A79" s="3">
        <v>75</v>
      </c>
      <c r="C79" s="7">
        <v>45420</v>
      </c>
      <c r="D79" s="3">
        <v>343</v>
      </c>
      <c r="E79" s="1">
        <v>792.41</v>
      </c>
      <c r="F79" s="3" t="s">
        <v>9</v>
      </c>
      <c r="G79" s="1">
        <f>6*27</f>
        <v>162</v>
      </c>
      <c r="H79" s="2">
        <v>45420.298611111109</v>
      </c>
      <c r="I79" s="2">
        <v>45420.4375</v>
      </c>
      <c r="J79" s="1">
        <f t="shared" si="1"/>
        <v>3.3333333333721384</v>
      </c>
      <c r="K79" s="1">
        <v>48.599999999434225</v>
      </c>
      <c r="L79" s="1">
        <v>27</v>
      </c>
      <c r="M79" s="1">
        <v>0</v>
      </c>
      <c r="N79" s="3" t="s">
        <v>3</v>
      </c>
      <c r="O79" s="3" t="s">
        <v>1</v>
      </c>
      <c r="P79" s="8" t="s">
        <v>7</v>
      </c>
      <c r="Q79" s="2">
        <v>45420.410567129627</v>
      </c>
      <c r="R79" s="2">
        <v>45420.532164351855</v>
      </c>
      <c r="S79" s="1"/>
      <c r="T79" s="1" t="str">
        <f t="shared" si="2"/>
        <v>Norcem Micro</v>
      </c>
      <c r="U79" s="1">
        <v>3195</v>
      </c>
      <c r="V79" s="1">
        <v>2222</v>
      </c>
      <c r="W79" s="1">
        <v>24</v>
      </c>
      <c r="X79" s="1">
        <v>65</v>
      </c>
      <c r="Y79" s="1">
        <v>6</v>
      </c>
    </row>
    <row r="80" spans="1:25" x14ac:dyDescent="0.25">
      <c r="A80" s="3">
        <v>76</v>
      </c>
      <c r="C80" s="7">
        <v>45421</v>
      </c>
      <c r="D80" s="3">
        <v>351</v>
      </c>
      <c r="E80" s="1">
        <v>806.81</v>
      </c>
      <c r="F80" s="3" t="s">
        <v>2</v>
      </c>
      <c r="G80" s="1">
        <f>21*32.6</f>
        <v>684.6</v>
      </c>
      <c r="H80" s="2">
        <v>45421.104166666664</v>
      </c>
      <c r="I80" s="2">
        <v>45421.416666666664</v>
      </c>
      <c r="J80" s="1">
        <f t="shared" si="1"/>
        <v>7.5</v>
      </c>
      <c r="K80" s="1">
        <v>91.28</v>
      </c>
      <c r="L80" s="1">
        <v>32.6</v>
      </c>
      <c r="M80" s="1">
        <v>0</v>
      </c>
      <c r="N80" s="3" t="s">
        <v>3</v>
      </c>
      <c r="O80" s="3" t="s">
        <v>1</v>
      </c>
      <c r="P80" s="8" t="s">
        <v>6</v>
      </c>
      <c r="Q80" s="2">
        <v>45421.407731481479</v>
      </c>
      <c r="R80" s="2">
        <v>45421.713078703702</v>
      </c>
      <c r="S80" s="1"/>
      <c r="T80" s="1" t="str">
        <f t="shared" si="2"/>
        <v>Norcem Micro</v>
      </c>
      <c r="U80" s="1">
        <v>15655</v>
      </c>
      <c r="V80" s="1">
        <v>12423</v>
      </c>
      <c r="W80" s="1">
        <v>132</v>
      </c>
      <c r="X80" s="1">
        <v>357</v>
      </c>
      <c r="Y80" s="1">
        <v>21</v>
      </c>
    </row>
    <row r="81" spans="1:25" x14ac:dyDescent="0.25">
      <c r="A81" s="3">
        <v>77</v>
      </c>
      <c r="C81" s="7">
        <v>45421</v>
      </c>
      <c r="D81" s="3">
        <v>353</v>
      </c>
      <c r="E81" s="1">
        <v>810.41</v>
      </c>
      <c r="F81" s="3" t="s">
        <v>9</v>
      </c>
      <c r="G81" s="1">
        <f>27*5+14</f>
        <v>149</v>
      </c>
      <c r="H81" s="2">
        <v>45421.805555555555</v>
      </c>
      <c r="I81" s="2">
        <v>45421.979166666664</v>
      </c>
      <c r="J81" s="1">
        <f t="shared" si="1"/>
        <v>4.1666666666278616</v>
      </c>
      <c r="K81" s="1">
        <v>35.760000000333044</v>
      </c>
      <c r="L81" s="1">
        <v>27</v>
      </c>
      <c r="M81" s="1">
        <v>0</v>
      </c>
      <c r="N81" s="3" t="s">
        <v>3</v>
      </c>
      <c r="O81" s="3" t="s">
        <v>1</v>
      </c>
      <c r="P81" s="8" t="s">
        <v>6</v>
      </c>
      <c r="Q81" s="2">
        <v>45421.98333333333</v>
      </c>
      <c r="R81" s="2">
        <v>45422.012499999997</v>
      </c>
      <c r="S81" s="1"/>
      <c r="T81" s="1" t="str">
        <f t="shared" si="2"/>
        <v>Norcem Micro</v>
      </c>
      <c r="U81" s="1">
        <v>907</v>
      </c>
      <c r="V81" s="1">
        <v>718</v>
      </c>
      <c r="W81" s="1">
        <v>7</v>
      </c>
      <c r="X81" s="1">
        <v>21</v>
      </c>
      <c r="Y81" s="1">
        <v>6</v>
      </c>
    </row>
    <row r="82" spans="1:25" x14ac:dyDescent="0.25">
      <c r="A82" s="3">
        <v>78</v>
      </c>
      <c r="C82" s="7">
        <v>45422</v>
      </c>
      <c r="D82" s="3">
        <v>361</v>
      </c>
      <c r="E82" s="1">
        <v>824.81</v>
      </c>
      <c r="F82" s="3" t="s">
        <v>2</v>
      </c>
      <c r="G82" s="1">
        <f>22*32.6</f>
        <v>717.2</v>
      </c>
      <c r="H82" s="2">
        <v>45422.645833333336</v>
      </c>
      <c r="I82" s="2">
        <v>45423.03125</v>
      </c>
      <c r="J82" s="1">
        <f t="shared" si="1"/>
        <v>9.2499999999417923</v>
      </c>
      <c r="K82" s="1">
        <v>77.535135135623051</v>
      </c>
      <c r="L82" s="1">
        <v>32.6</v>
      </c>
      <c r="M82" s="1">
        <v>0</v>
      </c>
      <c r="N82" s="3" t="s">
        <v>3</v>
      </c>
      <c r="O82" s="3" t="s">
        <v>1</v>
      </c>
      <c r="P82" s="8" t="s">
        <v>6</v>
      </c>
      <c r="Q82" s="2">
        <v>45423.053310185183</v>
      </c>
      <c r="R82" s="2">
        <v>45423.415995370371</v>
      </c>
      <c r="S82" s="1"/>
      <c r="T82" s="1" t="str">
        <f t="shared" si="2"/>
        <v>Norcem Micro</v>
      </c>
      <c r="U82" s="1">
        <v>20377</v>
      </c>
      <c r="V82" s="1">
        <v>16519</v>
      </c>
      <c r="W82" s="1">
        <v>176</v>
      </c>
      <c r="X82" s="1">
        <v>485</v>
      </c>
      <c r="Y82" s="1">
        <v>22</v>
      </c>
    </row>
    <row r="83" spans="1:25" x14ac:dyDescent="0.25">
      <c r="A83" s="3">
        <v>79</v>
      </c>
      <c r="C83" s="7">
        <v>45425</v>
      </c>
      <c r="D83" s="3">
        <v>363</v>
      </c>
      <c r="E83" s="1">
        <v>828.41</v>
      </c>
      <c r="F83" s="3" t="s">
        <v>9</v>
      </c>
      <c r="G83" s="1">
        <v>162</v>
      </c>
      <c r="H83" s="2">
        <v>45425.591666666667</v>
      </c>
      <c r="I83" s="2">
        <v>45425.670138888891</v>
      </c>
      <c r="J83" s="1">
        <f t="shared" si="1"/>
        <v>1.8833333333604969</v>
      </c>
      <c r="K83" s="1">
        <v>86.017699113803602</v>
      </c>
      <c r="L83" s="1">
        <v>32.6</v>
      </c>
      <c r="M83" s="1">
        <v>0</v>
      </c>
      <c r="N83" s="3" t="s">
        <v>3</v>
      </c>
      <c r="O83" s="3" t="s">
        <v>1</v>
      </c>
      <c r="P83" s="8" t="s">
        <v>6</v>
      </c>
      <c r="Q83" s="2">
        <v>45425.678032407406</v>
      </c>
      <c r="R83" s="2">
        <v>45425.748854166668</v>
      </c>
      <c r="S83" s="1"/>
      <c r="T83" s="1" t="str">
        <f t="shared" si="2"/>
        <v>Norcem Micro</v>
      </c>
      <c r="U83" s="1">
        <v>1453</v>
      </c>
      <c r="V83" s="1">
        <v>1079</v>
      </c>
      <c r="W83" s="1">
        <v>15</v>
      </c>
      <c r="X83" s="1">
        <v>43</v>
      </c>
      <c r="Y83" s="1">
        <v>6</v>
      </c>
    </row>
    <row r="84" spans="1:25" x14ac:dyDescent="0.25">
      <c r="A84" s="3">
        <v>80</v>
      </c>
      <c r="C84" s="7">
        <v>45426</v>
      </c>
      <c r="D84" s="3">
        <v>370</v>
      </c>
      <c r="E84" s="1">
        <v>842</v>
      </c>
      <c r="F84" s="3" t="s">
        <v>2</v>
      </c>
      <c r="G84" s="1">
        <f>20*32.6</f>
        <v>652</v>
      </c>
      <c r="H84" s="2">
        <v>45426.257395833301</v>
      </c>
      <c r="I84" s="2">
        <v>45426.614583333336</v>
      </c>
      <c r="J84" s="1">
        <f t="shared" si="1"/>
        <v>8.5725000008242205</v>
      </c>
      <c r="K84" s="1">
        <v>76.057159514413783</v>
      </c>
      <c r="L84" s="1">
        <v>32.6</v>
      </c>
      <c r="M84" s="1">
        <v>47</v>
      </c>
      <c r="N84" s="3" t="s">
        <v>3</v>
      </c>
      <c r="O84" s="3" t="s">
        <v>1</v>
      </c>
      <c r="P84" s="8" t="s">
        <v>8</v>
      </c>
      <c r="Q84" s="2">
        <v>45426.618750000001</v>
      </c>
      <c r="R84" s="2">
        <v>45427.20416666667</v>
      </c>
      <c r="S84" s="1"/>
      <c r="T84" s="1" t="str">
        <f t="shared" si="2"/>
        <v>Norcem Micro</v>
      </c>
      <c r="U84" s="1">
        <v>28456</v>
      </c>
      <c r="V84" s="1">
        <v>20802.699999999997</v>
      </c>
      <c r="W84" s="1">
        <v>217.7</v>
      </c>
      <c r="X84" s="1">
        <v>644.09999999999991</v>
      </c>
      <c r="Y84" s="1">
        <v>20</v>
      </c>
    </row>
    <row r="85" spans="1:25" x14ac:dyDescent="0.25">
      <c r="A85" s="3">
        <v>81</v>
      </c>
      <c r="C85" s="7">
        <v>45427</v>
      </c>
      <c r="D85" s="3">
        <v>372</v>
      </c>
      <c r="E85" s="1">
        <v>846.2</v>
      </c>
      <c r="F85" s="3" t="s">
        <v>9</v>
      </c>
      <c r="G85" s="1">
        <f>27*6</f>
        <v>162</v>
      </c>
      <c r="H85" s="2">
        <v>45427.40625</v>
      </c>
      <c r="I85" s="2">
        <v>45427.520833333336</v>
      </c>
      <c r="J85" s="1">
        <f t="shared" si="1"/>
        <v>2.7500000000582077</v>
      </c>
      <c r="K85" s="1">
        <v>58.909090907844018</v>
      </c>
      <c r="L85" s="1">
        <v>27</v>
      </c>
      <c r="M85" s="1">
        <v>0</v>
      </c>
      <c r="N85" s="3" t="s">
        <v>3</v>
      </c>
      <c r="O85" s="3" t="s">
        <v>1</v>
      </c>
      <c r="P85" s="8" t="s">
        <v>8</v>
      </c>
      <c r="Q85" s="2">
        <v>45427.531921296293</v>
      </c>
      <c r="R85" s="2">
        <v>45427.534814814811</v>
      </c>
      <c r="S85" s="1"/>
      <c r="T85" s="1" t="str">
        <f t="shared" si="2"/>
        <v>Norcem Micro</v>
      </c>
      <c r="U85" s="1">
        <v>54</v>
      </c>
      <c r="V85" s="1">
        <v>180</v>
      </c>
      <c r="W85" s="1">
        <v>1.8</v>
      </c>
      <c r="X85" s="1">
        <v>5</v>
      </c>
      <c r="Y85" s="1">
        <v>6</v>
      </c>
    </row>
    <row r="86" spans="1:25" x14ac:dyDescent="0.25">
      <c r="A86" s="3">
        <v>82</v>
      </c>
      <c r="C86" s="7">
        <v>45427</v>
      </c>
      <c r="D86" s="3">
        <v>375</v>
      </c>
      <c r="E86" s="1">
        <v>849.6</v>
      </c>
      <c r="F86" s="3" t="s">
        <v>9</v>
      </c>
      <c r="G86" s="1">
        <v>23</v>
      </c>
      <c r="H86" s="2">
        <v>45427.63958333333</v>
      </c>
      <c r="I86" s="2">
        <v>45427.681250000001</v>
      </c>
      <c r="J86" s="1">
        <f t="shared" si="1"/>
        <v>1.0000000001164153</v>
      </c>
      <c r="K86" s="1">
        <v>22.999999997322448</v>
      </c>
      <c r="L86" s="1">
        <v>27</v>
      </c>
      <c r="M86" s="1">
        <v>0</v>
      </c>
      <c r="N86" s="3" t="s">
        <v>3</v>
      </c>
      <c r="O86" s="3" t="s">
        <v>1</v>
      </c>
      <c r="P86" s="8" t="s">
        <v>8</v>
      </c>
      <c r="Q86" s="2">
        <v>0</v>
      </c>
      <c r="R86" s="2">
        <v>0</v>
      </c>
      <c r="S86" s="1"/>
      <c r="T86" s="1" t="str">
        <f t="shared" si="2"/>
        <v>Norcem Micro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</row>
    <row r="87" spans="1:25" x14ac:dyDescent="0.25">
      <c r="A87" s="3">
        <v>83</v>
      </c>
      <c r="C87" s="7">
        <v>45428</v>
      </c>
      <c r="D87" s="3">
        <v>381</v>
      </c>
      <c r="E87" s="1">
        <v>860.6</v>
      </c>
      <c r="F87" s="3" t="s">
        <v>2</v>
      </c>
      <c r="G87" s="1">
        <v>726.2</v>
      </c>
      <c r="H87" s="2">
        <v>45428.159722222219</v>
      </c>
      <c r="I87" s="2">
        <v>45428.625</v>
      </c>
      <c r="J87" s="1">
        <f t="shared" si="1"/>
        <v>11.166666666744277</v>
      </c>
      <c r="K87" s="1">
        <v>65.032835820443538</v>
      </c>
      <c r="L87" s="1">
        <v>32.6</v>
      </c>
      <c r="M87" s="1">
        <v>0</v>
      </c>
      <c r="N87" s="3" t="s">
        <v>5</v>
      </c>
      <c r="O87" s="3" t="s">
        <v>1</v>
      </c>
      <c r="P87" s="8"/>
      <c r="Q87" s="2">
        <v>45428.656840277778</v>
      </c>
      <c r="R87" s="2">
        <v>45428.942407407405</v>
      </c>
      <c r="S87" s="1"/>
      <c r="T87" s="1" t="str">
        <f t="shared" si="2"/>
        <v>Norcem Micro</v>
      </c>
      <c r="U87" s="1">
        <v>19264</v>
      </c>
      <c r="V87" s="1">
        <v>15106</v>
      </c>
      <c r="W87" s="1">
        <v>156</v>
      </c>
      <c r="X87" s="1">
        <v>451</v>
      </c>
      <c r="Y87" s="1">
        <v>22</v>
      </c>
    </row>
    <row r="88" spans="1:25" x14ac:dyDescent="0.25">
      <c r="A88" s="3">
        <v>84</v>
      </c>
      <c r="C88" s="7">
        <v>45428</v>
      </c>
      <c r="D88" s="3">
        <v>383</v>
      </c>
      <c r="E88" s="1">
        <v>864</v>
      </c>
      <c r="F88" s="3" t="s">
        <v>9</v>
      </c>
      <c r="G88" s="1">
        <f>6*27</f>
        <v>162</v>
      </c>
      <c r="H88" s="2">
        <v>45429.055555555555</v>
      </c>
      <c r="I88" s="2">
        <v>45429.152777777781</v>
      </c>
      <c r="J88" s="1">
        <f t="shared" si="1"/>
        <v>2.3333333334303461</v>
      </c>
      <c r="K88" s="1">
        <v>69.428571425684808</v>
      </c>
      <c r="L88" s="1">
        <v>32.6</v>
      </c>
      <c r="M88" s="1">
        <v>0</v>
      </c>
      <c r="N88" s="3" t="s">
        <v>3</v>
      </c>
      <c r="O88" s="3" t="s">
        <v>1</v>
      </c>
      <c r="P88" s="8" t="s">
        <v>18</v>
      </c>
      <c r="Q88" s="2">
        <v>45429.14166666667</v>
      </c>
      <c r="R88" s="2">
        <v>45429.177777777775</v>
      </c>
      <c r="S88" s="1"/>
      <c r="T88" s="1" t="str">
        <f t="shared" si="2"/>
        <v>Norcem Micro</v>
      </c>
      <c r="U88" s="1">
        <v>1108</v>
      </c>
      <c r="V88" s="1">
        <v>719</v>
      </c>
      <c r="W88" s="1">
        <v>7</v>
      </c>
      <c r="X88" s="1">
        <v>21</v>
      </c>
      <c r="Y88" s="1">
        <v>6</v>
      </c>
    </row>
    <row r="89" spans="1:25" x14ac:dyDescent="0.25">
      <c r="A89" s="3">
        <v>85</v>
      </c>
      <c r="C89" s="7">
        <v>45429</v>
      </c>
      <c r="D89" s="3">
        <v>391</v>
      </c>
      <c r="E89" s="1">
        <v>878.3</v>
      </c>
      <c r="F89" s="3" t="s">
        <v>2</v>
      </c>
      <c r="G89" s="1">
        <v>708.6</v>
      </c>
      <c r="H89" s="2">
        <v>45428.540972222225</v>
      </c>
      <c r="I89" s="2">
        <v>45428.861111111109</v>
      </c>
      <c r="J89" s="1">
        <f t="shared" si="1"/>
        <v>7.6833333332324401</v>
      </c>
      <c r="K89" s="1">
        <v>92.225596530495224</v>
      </c>
      <c r="L89" s="1">
        <v>27</v>
      </c>
      <c r="M89" s="1">
        <v>0</v>
      </c>
      <c r="N89" s="3" t="s">
        <v>3</v>
      </c>
      <c r="O89" s="3" t="s">
        <v>1</v>
      </c>
      <c r="P89" s="8" t="s">
        <v>19</v>
      </c>
      <c r="Q89" s="2">
        <v>45429.836909722224</v>
      </c>
      <c r="R89" s="2">
        <v>45430.068310185183</v>
      </c>
      <c r="S89" s="1"/>
      <c r="T89" s="1" t="str">
        <f t="shared" si="2"/>
        <v>Norcem Micro</v>
      </c>
      <c r="U89" s="1">
        <v>18072</v>
      </c>
      <c r="V89" s="1">
        <v>13036</v>
      </c>
      <c r="W89" s="1">
        <v>131</v>
      </c>
      <c r="X89" s="1">
        <v>386</v>
      </c>
      <c r="Y89" s="1">
        <v>21</v>
      </c>
    </row>
    <row r="90" spans="1:25" x14ac:dyDescent="0.25">
      <c r="A90" s="3">
        <v>86</v>
      </c>
      <c r="C90" s="7">
        <v>45430</v>
      </c>
      <c r="D90" s="3">
        <v>393</v>
      </c>
      <c r="E90" s="1">
        <v>882</v>
      </c>
      <c r="F90" s="3" t="s">
        <v>9</v>
      </c>
      <c r="G90" s="1">
        <f>6*27</f>
        <v>162</v>
      </c>
      <c r="H90" s="2">
        <v>45430.225694444445</v>
      </c>
      <c r="I90" s="2">
        <v>45430.288194444445</v>
      </c>
      <c r="J90" s="1">
        <f t="shared" si="1"/>
        <v>1.5</v>
      </c>
      <c r="K90" s="1">
        <v>108</v>
      </c>
      <c r="L90" s="1">
        <v>27</v>
      </c>
      <c r="M90" s="1">
        <v>0</v>
      </c>
      <c r="N90" s="3" t="s">
        <v>3</v>
      </c>
      <c r="O90" s="3" t="s">
        <v>1</v>
      </c>
      <c r="P90" s="8" t="s">
        <v>6</v>
      </c>
      <c r="Q90" s="2">
        <v>45430.300810185188</v>
      </c>
      <c r="R90" s="2">
        <v>45430.339988425927</v>
      </c>
      <c r="S90" s="1"/>
      <c r="T90" s="1" t="str">
        <f t="shared" si="2"/>
        <v>Norcem Micro</v>
      </c>
      <c r="U90" s="1">
        <v>1679</v>
      </c>
      <c r="V90" s="1">
        <v>1081</v>
      </c>
      <c r="W90" s="1">
        <v>11</v>
      </c>
      <c r="X90" s="1">
        <v>32</v>
      </c>
      <c r="Y90" s="1">
        <v>6</v>
      </c>
    </row>
    <row r="91" spans="1:25" x14ac:dyDescent="0.25">
      <c r="A91" s="3">
        <v>87</v>
      </c>
      <c r="C91" s="7">
        <v>45432</v>
      </c>
      <c r="D91" s="3">
        <v>401</v>
      </c>
      <c r="E91" s="1">
        <v>896.3</v>
      </c>
      <c r="F91" s="3" t="s">
        <v>2</v>
      </c>
      <c r="G91" s="1">
        <f>32.6*20+3+5+5.5+5</f>
        <v>670.5</v>
      </c>
      <c r="H91" s="2">
        <v>45432.454861111109</v>
      </c>
      <c r="I91" s="2">
        <v>45432.75</v>
      </c>
      <c r="J91" s="1">
        <f t="shared" si="1"/>
        <v>7.0833333333721384</v>
      </c>
      <c r="K91" s="1">
        <v>94.658823528893194</v>
      </c>
      <c r="L91" s="1">
        <v>32.6</v>
      </c>
      <c r="M91" s="1">
        <v>2.5</v>
      </c>
      <c r="N91" s="3" t="s">
        <v>3</v>
      </c>
      <c r="O91" s="3" t="s">
        <v>1</v>
      </c>
      <c r="P91" s="8" t="s">
        <v>20</v>
      </c>
      <c r="Q91" s="2">
        <v>45432.726145833331</v>
      </c>
      <c r="R91" s="2">
        <v>45433.190949074073</v>
      </c>
      <c r="S91" s="1"/>
      <c r="T91" s="1" t="s">
        <v>87</v>
      </c>
      <c r="U91" s="1">
        <v>24880</v>
      </c>
      <c r="V91" s="1">
        <v>19363.2</v>
      </c>
      <c r="W91" s="1">
        <v>197.5</v>
      </c>
      <c r="X91" s="1">
        <v>446.8</v>
      </c>
      <c r="Y91" s="1">
        <v>20</v>
      </c>
    </row>
    <row r="92" spans="1:25" x14ac:dyDescent="0.25">
      <c r="A92" s="3">
        <v>88</v>
      </c>
      <c r="C92" s="7">
        <v>45433</v>
      </c>
      <c r="D92" s="3">
        <v>403</v>
      </c>
      <c r="E92" s="1">
        <v>900</v>
      </c>
      <c r="F92" s="3" t="s">
        <v>9</v>
      </c>
      <c r="G92" s="9">
        <f>6*27</f>
        <v>162</v>
      </c>
      <c r="H92" s="2">
        <v>45433.3125</v>
      </c>
      <c r="I92" s="2">
        <v>45433.383333333331</v>
      </c>
      <c r="J92" s="1">
        <f t="shared" si="1"/>
        <v>1.6999999999534339</v>
      </c>
      <c r="K92" s="1">
        <v>95.294117649669104</v>
      </c>
      <c r="L92" s="1">
        <v>27</v>
      </c>
      <c r="M92" s="1">
        <v>0</v>
      </c>
      <c r="N92" s="3" t="s">
        <v>3</v>
      </c>
      <c r="O92" s="3" t="s">
        <v>1</v>
      </c>
      <c r="P92" s="8" t="s">
        <v>6</v>
      </c>
      <c r="Q92" s="2">
        <v>45433.373819444445</v>
      </c>
      <c r="R92" s="2">
        <v>45433.419988425929</v>
      </c>
      <c r="S92" s="1"/>
      <c r="T92" s="1" t="s">
        <v>87</v>
      </c>
      <c r="U92" s="1">
        <v>1621</v>
      </c>
      <c r="V92" s="1">
        <v>1121</v>
      </c>
      <c r="W92" s="1">
        <v>11</v>
      </c>
      <c r="X92" s="1">
        <v>33</v>
      </c>
      <c r="Y92" s="1">
        <v>6</v>
      </c>
    </row>
    <row r="93" spans="1:25" x14ac:dyDescent="0.25">
      <c r="A93" s="3">
        <v>89</v>
      </c>
      <c r="C93" s="7">
        <v>45433</v>
      </c>
      <c r="D93" s="3">
        <v>411</v>
      </c>
      <c r="E93" s="1">
        <v>914.5</v>
      </c>
      <c r="F93" s="3" t="s">
        <v>2</v>
      </c>
      <c r="G93" s="1">
        <f>23*32.6</f>
        <v>749.80000000000007</v>
      </c>
      <c r="H93" s="2">
        <v>45433.768055555556</v>
      </c>
      <c r="I93" s="2">
        <v>45434.210416666669</v>
      </c>
      <c r="J93" s="1">
        <f t="shared" si="1"/>
        <v>10.616666666697711</v>
      </c>
      <c r="K93" s="1">
        <v>70.624803767454409</v>
      </c>
      <c r="L93" s="1">
        <v>32.6</v>
      </c>
      <c r="M93" s="1">
        <v>0</v>
      </c>
      <c r="N93" s="3" t="s">
        <v>5</v>
      </c>
      <c r="O93" s="3" t="s">
        <v>1</v>
      </c>
      <c r="P93" s="8"/>
      <c r="Q93" s="2">
        <v>45434.221145833333</v>
      </c>
      <c r="R93" s="2">
        <v>45434.457743055558</v>
      </c>
      <c r="S93" s="1"/>
      <c r="T93" s="1" t="str">
        <f>T92</f>
        <v>Norcem Micro</v>
      </c>
      <c r="U93" s="1">
        <v>16186</v>
      </c>
      <c r="V93" s="1">
        <v>11983</v>
      </c>
      <c r="W93" s="1">
        <v>128</v>
      </c>
      <c r="X93" s="1">
        <v>379</v>
      </c>
      <c r="Y93" s="1">
        <v>23</v>
      </c>
    </row>
    <row r="94" spans="1:25" x14ac:dyDescent="0.25">
      <c r="A94" s="3">
        <v>90</v>
      </c>
      <c r="C94" s="7">
        <v>45434</v>
      </c>
      <c r="D94" s="3">
        <v>413</v>
      </c>
      <c r="E94" s="1">
        <v>918</v>
      </c>
      <c r="F94" s="3" t="s">
        <v>9</v>
      </c>
      <c r="G94" s="9">
        <f>6*27</f>
        <v>162</v>
      </c>
      <c r="H94" s="2">
        <v>45434.645833333336</v>
      </c>
      <c r="I94" s="2">
        <v>45434.697222222225</v>
      </c>
      <c r="J94" s="1">
        <f t="shared" si="1"/>
        <v>1.2333333333372138</v>
      </c>
      <c r="K94" s="1">
        <v>131.35135135093807</v>
      </c>
      <c r="L94" s="1">
        <v>32.6</v>
      </c>
      <c r="M94" s="1">
        <v>0</v>
      </c>
      <c r="N94" s="3" t="s">
        <v>3</v>
      </c>
      <c r="O94" s="3" t="s">
        <v>1</v>
      </c>
      <c r="P94" s="8"/>
      <c r="Q94" s="2">
        <v>45434.707152777781</v>
      </c>
      <c r="R94" s="2">
        <v>45434.764097222222</v>
      </c>
      <c r="S94" s="1"/>
      <c r="T94" s="1" t="s">
        <v>87</v>
      </c>
      <c r="U94" s="1">
        <v>1915</v>
      </c>
      <c r="V94" s="1">
        <v>1303</v>
      </c>
      <c r="W94" s="1">
        <v>13</v>
      </c>
      <c r="X94" s="1">
        <v>36</v>
      </c>
      <c r="Y94" s="1">
        <v>6</v>
      </c>
    </row>
    <row r="95" spans="1:25" x14ac:dyDescent="0.25">
      <c r="A95" s="3">
        <v>91</v>
      </c>
      <c r="C95" s="7">
        <v>45435</v>
      </c>
      <c r="D95" s="3">
        <v>421</v>
      </c>
      <c r="E95" s="1">
        <v>932.5</v>
      </c>
      <c r="F95" s="3" t="s">
        <v>2</v>
      </c>
      <c r="G95" s="1">
        <f>32.6*23+30</f>
        <v>779.80000000000007</v>
      </c>
      <c r="H95" s="2">
        <v>45435.072916666664</v>
      </c>
      <c r="I95" s="2">
        <v>45435.513888888891</v>
      </c>
      <c r="J95" s="1">
        <f t="shared" si="1"/>
        <v>10.583333333430346</v>
      </c>
      <c r="K95" s="1">
        <v>73.681889763104124</v>
      </c>
      <c r="L95" s="1">
        <v>32.6</v>
      </c>
      <c r="M95" s="1">
        <v>0</v>
      </c>
      <c r="N95" s="3" t="s">
        <v>5</v>
      </c>
      <c r="O95" s="3" t="s">
        <v>1</v>
      </c>
      <c r="P95" s="8"/>
      <c r="Q95" s="2">
        <v>45435.523935185185</v>
      </c>
      <c r="R95" s="2">
        <v>45435.834722222222</v>
      </c>
      <c r="S95" s="1"/>
      <c r="T95" s="1" t="s">
        <v>87</v>
      </c>
      <c r="U95" s="1">
        <v>22103</v>
      </c>
      <c r="V95" s="1">
        <v>16963</v>
      </c>
      <c r="W95" s="1">
        <v>174</v>
      </c>
      <c r="X95" s="1">
        <v>472</v>
      </c>
      <c r="Y95" s="1">
        <v>23</v>
      </c>
    </row>
    <row r="96" spans="1:25" x14ac:dyDescent="0.25">
      <c r="A96" s="3">
        <v>92</v>
      </c>
      <c r="C96" s="7">
        <v>45436</v>
      </c>
      <c r="D96" s="3">
        <v>431</v>
      </c>
      <c r="E96" s="1">
        <v>950.5</v>
      </c>
      <c r="F96" s="3" t="s">
        <v>2</v>
      </c>
      <c r="G96" s="1">
        <v>729.11</v>
      </c>
      <c r="H96" s="2">
        <v>45436.322916666664</v>
      </c>
      <c r="I96" s="2">
        <v>45436.602083333331</v>
      </c>
      <c r="J96" s="1">
        <f t="shared" si="1"/>
        <v>6.7000000000116415</v>
      </c>
      <c r="K96" s="1">
        <v>108.82238805951241</v>
      </c>
      <c r="L96" s="1">
        <v>32.6</v>
      </c>
      <c r="M96" s="1">
        <v>0</v>
      </c>
      <c r="N96" s="3" t="s">
        <v>5</v>
      </c>
      <c r="O96" s="3" t="s">
        <v>1</v>
      </c>
      <c r="P96" s="8"/>
      <c r="Q96" s="2">
        <v>45436.625358796293</v>
      </c>
      <c r="R96" s="2">
        <v>45436.816423611112</v>
      </c>
      <c r="S96" s="1"/>
      <c r="T96" s="1" t="str">
        <f>T95</f>
        <v>Norcem Micro</v>
      </c>
      <c r="U96" s="1">
        <v>13410</v>
      </c>
      <c r="V96" s="1">
        <v>9987</v>
      </c>
      <c r="W96" s="1">
        <v>102</v>
      </c>
      <c r="X96" s="1">
        <v>295</v>
      </c>
      <c r="Y96" s="1">
        <v>19</v>
      </c>
    </row>
    <row r="97" spans="1:25" x14ac:dyDescent="0.25">
      <c r="A97" s="3">
        <v>93</v>
      </c>
      <c r="C97" s="7">
        <v>45437</v>
      </c>
      <c r="D97" s="3">
        <v>441</v>
      </c>
      <c r="E97" s="1">
        <v>968.5</v>
      </c>
      <c r="F97" s="3" t="s">
        <v>2</v>
      </c>
      <c r="G97" s="1">
        <v>671.2</v>
      </c>
      <c r="H97" s="2">
        <v>45437.145138888889</v>
      </c>
      <c r="I97" s="2">
        <v>45437.642361111109</v>
      </c>
      <c r="J97" s="1">
        <f t="shared" si="1"/>
        <v>11.933333333290648</v>
      </c>
      <c r="K97" s="1">
        <v>56.245810056067114</v>
      </c>
      <c r="L97" s="1">
        <v>32.6</v>
      </c>
      <c r="M97" s="1">
        <v>0</v>
      </c>
      <c r="N97" s="3" t="s">
        <v>5</v>
      </c>
      <c r="O97" s="3" t="s">
        <v>1</v>
      </c>
      <c r="P97" s="8"/>
      <c r="Q97" s="2">
        <v>45437.660729166666</v>
      </c>
      <c r="R97" s="2">
        <v>45437.813055555554</v>
      </c>
      <c r="S97" s="1"/>
      <c r="T97" s="1" t="s">
        <v>87</v>
      </c>
      <c r="U97" s="1">
        <v>4362</v>
      </c>
      <c r="V97" s="1">
        <v>3361</v>
      </c>
      <c r="W97" s="1">
        <v>34</v>
      </c>
      <c r="X97" s="1">
        <v>99</v>
      </c>
      <c r="Y97" s="1">
        <v>20</v>
      </c>
    </row>
    <row r="98" spans="1:25" x14ac:dyDescent="0.25">
      <c r="A98" s="3">
        <v>94</v>
      </c>
      <c r="C98" s="7">
        <v>45439</v>
      </c>
      <c r="D98" s="3">
        <v>450</v>
      </c>
      <c r="E98" s="1">
        <v>986.63</v>
      </c>
      <c r="F98" s="3" t="s">
        <v>2</v>
      </c>
      <c r="G98" s="10">
        <f>G99</f>
        <v>749.8</v>
      </c>
      <c r="H98" s="2">
        <v>45439.625</v>
      </c>
      <c r="I98" s="2">
        <v>45440.013888888891</v>
      </c>
      <c r="J98" s="1">
        <f t="shared" si="1"/>
        <v>9.3333333333721384</v>
      </c>
      <c r="K98" s="1">
        <v>80.335714285380263</v>
      </c>
      <c r="L98" s="1">
        <v>32.6</v>
      </c>
      <c r="M98" s="1">
        <v>1</v>
      </c>
      <c r="N98" s="3" t="s">
        <v>5</v>
      </c>
      <c r="O98" s="3" t="s">
        <v>1</v>
      </c>
      <c r="P98" s="8"/>
      <c r="Q98" s="2">
        <v>45440.011805555558</v>
      </c>
      <c r="R98" s="2">
        <v>45440.326388888891</v>
      </c>
      <c r="S98" s="1"/>
      <c r="T98" s="1" t="s">
        <v>87</v>
      </c>
      <c r="U98" s="1">
        <v>13446</v>
      </c>
      <c r="V98" s="1">
        <v>10708</v>
      </c>
      <c r="W98" s="1">
        <v>107</v>
      </c>
      <c r="X98" s="1">
        <v>308</v>
      </c>
      <c r="Y98" s="1">
        <v>22</v>
      </c>
    </row>
    <row r="99" spans="1:25" x14ac:dyDescent="0.25">
      <c r="A99" s="3">
        <v>95</v>
      </c>
      <c r="C99" s="7">
        <v>45441</v>
      </c>
      <c r="D99" s="3">
        <v>461</v>
      </c>
      <c r="E99" s="1">
        <v>1004.21</v>
      </c>
      <c r="F99" s="3" t="s">
        <v>2</v>
      </c>
      <c r="G99" s="1">
        <v>749.8</v>
      </c>
      <c r="H99" s="2">
        <v>45441.59375</v>
      </c>
      <c r="I99" s="2">
        <v>45441.833333333336</v>
      </c>
      <c r="J99" s="1">
        <f t="shared" si="1"/>
        <v>5.7500000000582077</v>
      </c>
      <c r="K99" s="1">
        <v>130.39999999867993</v>
      </c>
      <c r="L99" s="1">
        <v>32.6</v>
      </c>
      <c r="M99" s="1">
        <v>1</v>
      </c>
      <c r="N99" s="3" t="s">
        <v>3</v>
      </c>
      <c r="O99" s="3" t="s">
        <v>1</v>
      </c>
      <c r="P99" s="8" t="s">
        <v>21</v>
      </c>
      <c r="Q99" s="2">
        <v>45441.592592592591</v>
      </c>
      <c r="R99" s="2">
        <v>45441.842465277776</v>
      </c>
      <c r="S99" s="1"/>
      <c r="T99" s="1" t="str">
        <f>T98</f>
        <v>Norcem Micro</v>
      </c>
      <c r="U99" s="1">
        <v>12101</v>
      </c>
      <c r="V99" s="1">
        <v>9835.2000000000025</v>
      </c>
      <c r="W99" s="1">
        <v>98.499999999999972</v>
      </c>
      <c r="X99" s="1">
        <v>220.7</v>
      </c>
      <c r="Y99" s="1">
        <v>15</v>
      </c>
    </row>
    <row r="100" spans="1:25" x14ac:dyDescent="0.25">
      <c r="A100" s="3">
        <v>96</v>
      </c>
      <c r="C100" s="7">
        <v>45442</v>
      </c>
      <c r="D100" s="3">
        <v>465</v>
      </c>
      <c r="E100" s="1">
        <v>1010.05</v>
      </c>
      <c r="F100" s="3" t="s">
        <v>2</v>
      </c>
      <c r="G100" s="10">
        <v>762.3</v>
      </c>
      <c r="H100" s="2">
        <v>45442.982638888891</v>
      </c>
      <c r="I100" s="2">
        <v>45443.211805555555</v>
      </c>
      <c r="J100" s="1">
        <f t="shared" si="1"/>
        <v>5.4999999999417923</v>
      </c>
      <c r="K100" s="1">
        <v>138.60000000146684</v>
      </c>
      <c r="L100" s="1">
        <v>32.6</v>
      </c>
      <c r="M100" s="1">
        <v>0</v>
      </c>
      <c r="N100" s="3" t="s">
        <v>5</v>
      </c>
      <c r="O100" s="3" t="s">
        <v>1</v>
      </c>
      <c r="P100" s="8"/>
      <c r="Q100" s="2">
        <v>45442.989305555559</v>
      </c>
      <c r="R100" s="2">
        <v>45443.210590277777</v>
      </c>
      <c r="S100" s="1"/>
      <c r="T100" s="1" t="s">
        <v>87</v>
      </c>
      <c r="U100" s="1">
        <v>6309</v>
      </c>
      <c r="V100" s="1">
        <v>5112.8999999999996</v>
      </c>
      <c r="W100" s="1">
        <v>42</v>
      </c>
      <c r="X100" s="1">
        <v>141</v>
      </c>
      <c r="Y100" s="1">
        <v>19</v>
      </c>
    </row>
    <row r="101" spans="1:25" x14ac:dyDescent="0.25">
      <c r="A101" s="3">
        <v>97</v>
      </c>
      <c r="C101" s="7">
        <v>45444</v>
      </c>
      <c r="D101" s="3">
        <v>475</v>
      </c>
      <c r="E101" s="1">
        <v>1029.5</v>
      </c>
      <c r="F101" s="3" t="s">
        <v>2</v>
      </c>
      <c r="G101" s="11">
        <f>32.6*10</f>
        <v>326</v>
      </c>
      <c r="H101" s="2">
        <v>45444.054907407401</v>
      </c>
      <c r="I101" s="2">
        <v>45444.392037037003</v>
      </c>
      <c r="J101" s="1">
        <f t="shared" si="1"/>
        <v>8.0911111104651354</v>
      </c>
      <c r="K101" s="1">
        <v>40.291128813983022</v>
      </c>
      <c r="L101" s="1">
        <v>32.6</v>
      </c>
      <c r="M101" s="1">
        <v>0</v>
      </c>
      <c r="N101" s="3" t="s">
        <v>3</v>
      </c>
      <c r="O101" s="3" t="s">
        <v>1</v>
      </c>
      <c r="P101" s="8" t="s">
        <v>12</v>
      </c>
      <c r="Q101" s="2">
        <v>0</v>
      </c>
      <c r="R101" s="2">
        <v>0</v>
      </c>
      <c r="S101" s="1"/>
      <c r="T101" s="1" t="s">
        <v>87</v>
      </c>
      <c r="U101" s="1">
        <v>0</v>
      </c>
      <c r="V101" s="1">
        <v>0</v>
      </c>
      <c r="W101" s="1">
        <v>0</v>
      </c>
      <c r="X101" s="1">
        <v>0</v>
      </c>
      <c r="Y101" s="1">
        <v>4</v>
      </c>
    </row>
    <row r="102" spans="1:25" x14ac:dyDescent="0.25">
      <c r="A102" s="3">
        <v>98</v>
      </c>
      <c r="C102" s="7">
        <v>45447</v>
      </c>
      <c r="D102" s="3">
        <v>480</v>
      </c>
      <c r="E102" s="1">
        <v>1041</v>
      </c>
      <c r="F102" s="3" t="s">
        <v>2</v>
      </c>
      <c r="G102" s="1">
        <v>499</v>
      </c>
      <c r="H102" s="2">
        <v>45447.166666666664</v>
      </c>
      <c r="I102" s="2">
        <v>45447.510416666664</v>
      </c>
      <c r="J102" s="1">
        <f t="shared" si="1"/>
        <v>8.25</v>
      </c>
      <c r="K102" s="1">
        <v>60.484848484848484</v>
      </c>
      <c r="L102" s="1">
        <v>32.6</v>
      </c>
      <c r="M102" s="1">
        <v>0</v>
      </c>
      <c r="N102" s="3" t="s">
        <v>3</v>
      </c>
      <c r="O102" s="3" t="s">
        <v>1</v>
      </c>
      <c r="P102" s="8" t="s">
        <v>22</v>
      </c>
      <c r="Q102" s="2">
        <v>45447.520740740743</v>
      </c>
      <c r="R102" s="2">
        <v>45447.655694444446</v>
      </c>
      <c r="S102" s="1"/>
      <c r="T102" s="1" t="s">
        <v>87</v>
      </c>
      <c r="U102" s="1">
        <v>6375</v>
      </c>
      <c r="V102" s="1">
        <v>5253</v>
      </c>
      <c r="W102" s="1">
        <v>53</v>
      </c>
      <c r="X102" s="1">
        <v>80</v>
      </c>
      <c r="Y102" s="1">
        <v>16</v>
      </c>
    </row>
    <row r="103" spans="1:25" x14ac:dyDescent="0.25">
      <c r="A103" s="3">
        <v>99</v>
      </c>
      <c r="C103" s="7">
        <v>45448</v>
      </c>
      <c r="D103" s="3">
        <v>490</v>
      </c>
      <c r="E103" s="1">
        <v>1058.2</v>
      </c>
      <c r="F103" s="3" t="s">
        <v>2</v>
      </c>
      <c r="G103" s="1">
        <v>619.4</v>
      </c>
      <c r="H103" s="2">
        <v>45448.680555555555</v>
      </c>
      <c r="I103" s="2">
        <v>45448.989583333336</v>
      </c>
      <c r="J103" s="1">
        <f t="shared" si="1"/>
        <v>7.4166666667442769</v>
      </c>
      <c r="K103" s="1">
        <v>83.514606740699108</v>
      </c>
      <c r="L103" s="1">
        <v>32.6</v>
      </c>
      <c r="M103" s="1">
        <v>7</v>
      </c>
      <c r="N103" s="3" t="s">
        <v>3</v>
      </c>
      <c r="O103" s="3" t="s">
        <v>1</v>
      </c>
      <c r="P103" s="8" t="s">
        <v>22</v>
      </c>
      <c r="Q103" s="2">
        <v>45448.9921412037</v>
      </c>
      <c r="R103" s="2">
        <v>45449.118726851855</v>
      </c>
      <c r="S103" s="1"/>
      <c r="T103" s="1" t="s">
        <v>87</v>
      </c>
      <c r="U103" s="1">
        <v>8271</v>
      </c>
      <c r="V103" s="1">
        <v>6202</v>
      </c>
      <c r="W103" s="1">
        <v>62</v>
      </c>
      <c r="X103" s="1">
        <v>184</v>
      </c>
      <c r="Y103" s="1">
        <v>19</v>
      </c>
    </row>
    <row r="104" spans="1:25" x14ac:dyDescent="0.25">
      <c r="A104" s="3">
        <v>100</v>
      </c>
      <c r="C104" s="7">
        <v>45449</v>
      </c>
      <c r="D104" s="3">
        <v>500</v>
      </c>
      <c r="E104" s="1">
        <v>1076.5</v>
      </c>
      <c r="F104" s="3" t="s">
        <v>2</v>
      </c>
      <c r="G104" s="1">
        <v>782.4</v>
      </c>
      <c r="H104" s="2">
        <v>45449.5</v>
      </c>
      <c r="I104" s="2">
        <v>45449.950694444444</v>
      </c>
      <c r="J104" s="1">
        <f t="shared" si="1"/>
        <v>10.816666666651145</v>
      </c>
      <c r="K104" s="1">
        <v>72.332819722754024</v>
      </c>
      <c r="L104" s="1">
        <v>32.6</v>
      </c>
      <c r="M104" s="1">
        <v>0.5</v>
      </c>
      <c r="N104" s="3" t="s">
        <v>3</v>
      </c>
      <c r="O104" s="3" t="s">
        <v>1</v>
      </c>
      <c r="P104" s="8" t="s">
        <v>23</v>
      </c>
      <c r="Q104" s="2">
        <v>45449.958460648151</v>
      </c>
      <c r="R104" s="2">
        <v>45450.0783912037</v>
      </c>
      <c r="S104" s="1"/>
      <c r="T104" s="1" t="s">
        <v>87</v>
      </c>
      <c r="U104" s="1">
        <v>6404</v>
      </c>
      <c r="V104" s="1">
        <v>4865</v>
      </c>
      <c r="W104" s="1">
        <v>55</v>
      </c>
      <c r="X104" s="1">
        <v>152</v>
      </c>
      <c r="Y104" s="1">
        <v>24</v>
      </c>
    </row>
    <row r="105" spans="1:25" x14ac:dyDescent="0.25">
      <c r="A105" s="3">
        <v>101</v>
      </c>
      <c r="C105" s="7">
        <v>45450</v>
      </c>
      <c r="D105" s="3">
        <v>511</v>
      </c>
      <c r="E105" s="1">
        <v>1094.5</v>
      </c>
      <c r="F105" s="3" t="s">
        <v>2</v>
      </c>
      <c r="G105" s="1">
        <v>782.4</v>
      </c>
      <c r="H105" s="2">
        <v>45450.520833333336</v>
      </c>
      <c r="I105" s="2">
        <v>45450.951388888891</v>
      </c>
      <c r="J105" s="1">
        <f t="shared" si="1"/>
        <v>10.333333333313931</v>
      </c>
      <c r="K105" s="1">
        <v>75.716129032400232</v>
      </c>
      <c r="L105" s="1">
        <v>32.6</v>
      </c>
      <c r="M105" s="1">
        <v>1.7</v>
      </c>
      <c r="N105" s="3" t="s">
        <v>5</v>
      </c>
      <c r="O105" s="3" t="s">
        <v>1</v>
      </c>
      <c r="P105" s="8"/>
      <c r="Q105" s="2">
        <v>45450.959016203706</v>
      </c>
      <c r="R105" s="2">
        <v>45451.2971412037</v>
      </c>
      <c r="S105" s="1"/>
      <c r="T105" s="1" t="s">
        <v>87</v>
      </c>
      <c r="U105" s="1">
        <v>19165</v>
      </c>
      <c r="V105" s="1">
        <v>14955.699999999999</v>
      </c>
      <c r="W105" s="1">
        <v>154.39999999999995</v>
      </c>
      <c r="X105" s="1">
        <v>454.1</v>
      </c>
      <c r="Y105" s="1">
        <v>23</v>
      </c>
    </row>
    <row r="106" spans="1:25" x14ac:dyDescent="0.25">
      <c r="A106" s="3">
        <v>102</v>
      </c>
      <c r="C106" s="7">
        <v>45451</v>
      </c>
      <c r="D106" s="3">
        <v>521</v>
      </c>
      <c r="E106" s="1">
        <v>1112.5</v>
      </c>
      <c r="F106" s="3" t="s">
        <v>2</v>
      </c>
      <c r="G106" s="1">
        <v>619.4</v>
      </c>
      <c r="H106" s="2">
        <v>45451.645833333336</v>
      </c>
      <c r="I106" s="2">
        <v>45451.9375</v>
      </c>
      <c r="J106" s="1">
        <f t="shared" si="1"/>
        <v>6.9999999999417923</v>
      </c>
      <c r="K106" s="1">
        <v>88.485714286450076</v>
      </c>
      <c r="L106" s="1">
        <v>32.6</v>
      </c>
      <c r="M106" s="1">
        <v>0</v>
      </c>
      <c r="N106" s="3" t="s">
        <v>3</v>
      </c>
      <c r="O106" s="3" t="s">
        <v>1</v>
      </c>
      <c r="P106" s="8" t="s">
        <v>13</v>
      </c>
      <c r="Q106" s="2">
        <v>45453.278796296298</v>
      </c>
      <c r="R106" s="2">
        <v>45453.680555555555</v>
      </c>
      <c r="S106" s="1"/>
      <c r="T106" s="1" t="s">
        <v>87</v>
      </c>
      <c r="U106" s="1">
        <v>11083</v>
      </c>
      <c r="V106" s="1">
        <v>9526.1</v>
      </c>
      <c r="W106" s="1">
        <v>121.50000000000006</v>
      </c>
      <c r="X106" s="1">
        <v>305.39999999999992</v>
      </c>
      <c r="Y106" s="1">
        <v>20</v>
      </c>
    </row>
    <row r="107" spans="1:25" x14ac:dyDescent="0.25">
      <c r="A107" s="3">
        <v>103</v>
      </c>
      <c r="C107" s="7">
        <v>45454</v>
      </c>
      <c r="D107" s="3">
        <v>531</v>
      </c>
      <c r="E107" s="1">
        <v>1130.5</v>
      </c>
      <c r="F107" s="3" t="s">
        <v>2</v>
      </c>
      <c r="G107" s="1">
        <v>782.4</v>
      </c>
      <c r="H107" s="2">
        <v>45454.375</v>
      </c>
      <c r="I107" s="2">
        <v>45454.875</v>
      </c>
      <c r="J107" s="1">
        <f t="shared" si="1"/>
        <v>12</v>
      </c>
      <c r="K107" s="1">
        <v>65.2</v>
      </c>
      <c r="L107" s="1">
        <v>32.6</v>
      </c>
      <c r="M107" s="1">
        <v>3</v>
      </c>
      <c r="N107" s="3" t="s">
        <v>3</v>
      </c>
      <c r="O107" s="3" t="s">
        <v>1</v>
      </c>
      <c r="P107" s="8" t="s">
        <v>19</v>
      </c>
      <c r="Q107" s="2">
        <v>45454.817037037035</v>
      </c>
      <c r="R107" s="2">
        <v>45455.02584490741</v>
      </c>
      <c r="S107" s="1"/>
      <c r="T107" s="1" t="s">
        <v>87</v>
      </c>
      <c r="U107" s="1">
        <v>15631</v>
      </c>
      <c r="V107" s="1">
        <v>10036</v>
      </c>
      <c r="W107" s="1">
        <v>104</v>
      </c>
      <c r="X107" s="1">
        <v>306</v>
      </c>
      <c r="Y107" s="1">
        <v>24</v>
      </c>
    </row>
    <row r="108" spans="1:25" x14ac:dyDescent="0.25">
      <c r="A108" s="3">
        <v>104</v>
      </c>
      <c r="C108" s="7">
        <v>45455</v>
      </c>
      <c r="D108" s="3">
        <v>541</v>
      </c>
      <c r="E108" s="1">
        <v>1148.5</v>
      </c>
      <c r="F108" s="3" t="s">
        <v>2</v>
      </c>
      <c r="G108" s="1">
        <v>754.3</v>
      </c>
      <c r="H108" s="2">
        <v>45455.454861111109</v>
      </c>
      <c r="I108" s="2">
        <v>45455.895833333336</v>
      </c>
      <c r="J108" s="1">
        <f t="shared" si="1"/>
        <v>10.583333333430346</v>
      </c>
      <c r="K108" s="1">
        <v>71.272440944228563</v>
      </c>
      <c r="L108" s="1">
        <v>32.6</v>
      </c>
      <c r="M108" s="1">
        <v>0</v>
      </c>
      <c r="N108" s="3" t="s">
        <v>5</v>
      </c>
      <c r="O108" s="3" t="s">
        <v>1</v>
      </c>
      <c r="P108" s="8"/>
      <c r="Q108" s="2">
        <v>45455.899224537039</v>
      </c>
      <c r="R108" s="2">
        <v>45456.028067129628</v>
      </c>
      <c r="S108" s="1"/>
      <c r="T108" s="1" t="s">
        <v>87</v>
      </c>
      <c r="U108" s="1">
        <v>10262</v>
      </c>
      <c r="V108" s="1">
        <v>7338</v>
      </c>
      <c r="W108" s="1">
        <v>74</v>
      </c>
      <c r="X108" s="1">
        <v>218</v>
      </c>
      <c r="Y108" s="1">
        <v>23</v>
      </c>
    </row>
    <row r="109" spans="1:25" x14ac:dyDescent="0.25">
      <c r="A109" s="3">
        <v>105</v>
      </c>
      <c r="C109" s="7">
        <v>45456</v>
      </c>
      <c r="D109" s="3">
        <v>551</v>
      </c>
      <c r="E109" s="1">
        <v>1167.0999999999999</v>
      </c>
      <c r="F109" s="3" t="s">
        <v>2</v>
      </c>
      <c r="G109" s="1">
        <v>725.95</v>
      </c>
      <c r="H109" s="2">
        <v>45456.447916666664</v>
      </c>
      <c r="I109" s="2">
        <v>45456.822916666664</v>
      </c>
      <c r="J109" s="1">
        <f t="shared" si="1"/>
        <v>9</v>
      </c>
      <c r="K109" s="1">
        <v>80.661111111111111</v>
      </c>
      <c r="L109" s="1">
        <v>32.6</v>
      </c>
      <c r="M109" s="1">
        <v>0</v>
      </c>
      <c r="N109" s="3" t="s">
        <v>5</v>
      </c>
      <c r="O109" s="3" t="s">
        <v>1</v>
      </c>
      <c r="P109" s="8"/>
      <c r="Q109" s="2">
        <v>45456.809467592589</v>
      </c>
      <c r="R109" s="2">
        <v>45456.940439814818</v>
      </c>
      <c r="S109" s="1"/>
      <c r="T109" s="1" t="s">
        <v>87</v>
      </c>
      <c r="U109" s="1">
        <v>9933</v>
      </c>
      <c r="V109" s="1">
        <v>6795.8000000000029</v>
      </c>
      <c r="W109" s="1">
        <v>72.100000000000009</v>
      </c>
      <c r="X109" s="1">
        <v>206.69999999999993</v>
      </c>
      <c r="Y109" s="1">
        <v>22</v>
      </c>
    </row>
    <row r="110" spans="1:25" x14ac:dyDescent="0.25">
      <c r="A110" s="3">
        <v>106</v>
      </c>
      <c r="C110" s="7">
        <v>45457</v>
      </c>
      <c r="D110" s="3">
        <v>561</v>
      </c>
      <c r="E110" s="1">
        <v>1184</v>
      </c>
      <c r="F110" s="3" t="s">
        <v>2</v>
      </c>
      <c r="G110" s="1">
        <v>754.95</v>
      </c>
      <c r="H110" s="2">
        <v>45457.392361111109</v>
      </c>
      <c r="I110" s="2">
        <v>45457.805555555555</v>
      </c>
      <c r="J110" s="1">
        <f t="shared" si="1"/>
        <v>9.9166666666860692</v>
      </c>
      <c r="K110" s="1">
        <v>76.129411764556934</v>
      </c>
      <c r="L110" s="1">
        <v>32.6</v>
      </c>
      <c r="M110" s="1">
        <v>2</v>
      </c>
      <c r="N110" s="3" t="s">
        <v>5</v>
      </c>
      <c r="O110" s="3" t="s">
        <v>1</v>
      </c>
      <c r="P110" s="8"/>
      <c r="Q110" s="2">
        <v>45457.838310185187</v>
      </c>
      <c r="R110" s="2">
        <v>45457.963703703703</v>
      </c>
      <c r="S110" s="1"/>
      <c r="T110" s="1" t="s">
        <v>87</v>
      </c>
      <c r="U110" s="1">
        <v>8432</v>
      </c>
      <c r="V110" s="1">
        <v>5769.7000000000007</v>
      </c>
      <c r="W110" s="1">
        <v>60.1</v>
      </c>
      <c r="X110" s="1">
        <v>155.69999999999999</v>
      </c>
      <c r="Y110" s="1">
        <v>23</v>
      </c>
    </row>
    <row r="111" spans="1:25" x14ac:dyDescent="0.25">
      <c r="A111" s="3">
        <v>107</v>
      </c>
      <c r="C111" s="7">
        <v>45458</v>
      </c>
      <c r="D111" s="3">
        <v>571</v>
      </c>
      <c r="E111" s="1">
        <v>1202</v>
      </c>
      <c r="F111" s="3" t="s">
        <v>2</v>
      </c>
      <c r="G111" s="1">
        <v>782.4</v>
      </c>
      <c r="H111" s="2">
        <v>45458.310416666667</v>
      </c>
      <c r="I111" s="2">
        <v>45458.614583333336</v>
      </c>
      <c r="J111" s="1">
        <f t="shared" si="1"/>
        <v>7.3000000000465661</v>
      </c>
      <c r="K111" s="1">
        <v>107.17808219109713</v>
      </c>
      <c r="L111" s="1">
        <v>32.6</v>
      </c>
      <c r="M111" s="1">
        <v>0</v>
      </c>
      <c r="N111" s="3" t="s">
        <v>5</v>
      </c>
      <c r="O111" s="3" t="s">
        <v>1</v>
      </c>
      <c r="P111" s="8"/>
      <c r="Q111" s="2">
        <v>45458.623356481483</v>
      </c>
      <c r="R111" s="2">
        <v>45458.800497685188</v>
      </c>
      <c r="S111" s="1"/>
      <c r="T111" s="1" t="s">
        <v>87</v>
      </c>
      <c r="U111" s="1">
        <v>9961</v>
      </c>
      <c r="V111" s="1">
        <v>7006.6000000000013</v>
      </c>
      <c r="W111" s="1">
        <v>72.400000000000006</v>
      </c>
      <c r="X111" s="1">
        <v>212.80000000000004</v>
      </c>
      <c r="Y111" s="1">
        <v>24</v>
      </c>
    </row>
    <row r="112" spans="1:25" x14ac:dyDescent="0.25">
      <c r="A112" s="3">
        <v>108</v>
      </c>
      <c r="C112" s="7">
        <v>45460</v>
      </c>
      <c r="D112" s="3">
        <v>581</v>
      </c>
      <c r="E112" s="1">
        <v>1220</v>
      </c>
      <c r="F112" s="3" t="s">
        <v>2</v>
      </c>
      <c r="G112" s="1">
        <v>712.35</v>
      </c>
      <c r="H112" s="2">
        <v>45460.322916666664</v>
      </c>
      <c r="I112" s="2">
        <v>45460.707638888889</v>
      </c>
      <c r="J112" s="1">
        <f t="shared" si="1"/>
        <v>9.2333333333954215</v>
      </c>
      <c r="K112" s="1">
        <v>77.149819494066051</v>
      </c>
      <c r="L112" s="1">
        <v>32.6</v>
      </c>
      <c r="M112" s="1">
        <v>4</v>
      </c>
      <c r="N112" s="3" t="s">
        <v>5</v>
      </c>
      <c r="O112" s="3" t="s">
        <v>1</v>
      </c>
      <c r="P112" s="8"/>
      <c r="Q112" s="2">
        <v>45460.684016203704</v>
      </c>
      <c r="R112" s="2">
        <v>45460.835393518515</v>
      </c>
      <c r="S112" s="1"/>
      <c r="T112" s="1" t="s">
        <v>87</v>
      </c>
      <c r="U112" s="1">
        <v>10998</v>
      </c>
      <c r="V112" s="1">
        <v>7706.2999999999993</v>
      </c>
      <c r="W112" s="1">
        <v>79.599999999999966</v>
      </c>
      <c r="X112" s="1">
        <v>234.80000000000004</v>
      </c>
      <c r="Y112" s="1">
        <v>22</v>
      </c>
    </row>
    <row r="113" spans="1:25" x14ac:dyDescent="0.25">
      <c r="A113" s="3">
        <v>109</v>
      </c>
      <c r="C113" s="7">
        <v>45461</v>
      </c>
      <c r="D113" s="3">
        <v>591</v>
      </c>
      <c r="E113" s="1">
        <v>1238.5</v>
      </c>
      <c r="F113" s="3" t="s">
        <v>2</v>
      </c>
      <c r="G113" s="1">
        <v>670.55</v>
      </c>
      <c r="H113" s="2">
        <v>45461.250694444447</v>
      </c>
      <c r="I113" s="2">
        <v>45461.589583333334</v>
      </c>
      <c r="J113" s="1">
        <f t="shared" si="1"/>
        <v>8.1333333333022892</v>
      </c>
      <c r="K113" s="1">
        <v>82.444672131462212</v>
      </c>
      <c r="L113" s="1">
        <v>32.6</v>
      </c>
      <c r="M113" s="1">
        <v>77</v>
      </c>
      <c r="N113" s="3" t="s">
        <v>5</v>
      </c>
      <c r="O113" s="3" t="s">
        <v>1</v>
      </c>
      <c r="P113" s="8"/>
      <c r="Q113" s="2">
        <v>45461.561759259261</v>
      </c>
      <c r="R113" s="2">
        <v>45461.801504629628</v>
      </c>
      <c r="S113" s="1"/>
      <c r="T113" s="1" t="s">
        <v>87</v>
      </c>
      <c r="U113" s="1">
        <v>17911</v>
      </c>
      <c r="V113" s="1">
        <v>12982.700000000004</v>
      </c>
      <c r="W113" s="1">
        <v>132.29999999999995</v>
      </c>
      <c r="X113" s="1">
        <v>390.20000000000005</v>
      </c>
      <c r="Y113" s="1">
        <v>20</v>
      </c>
    </row>
    <row r="114" spans="1:25" x14ac:dyDescent="0.25">
      <c r="A114" s="3">
        <v>110</v>
      </c>
      <c r="C114" s="7">
        <v>45462</v>
      </c>
      <c r="D114" s="3">
        <v>593</v>
      </c>
      <c r="E114" s="1">
        <v>1242.0899999999999</v>
      </c>
      <c r="F114" s="3" t="s">
        <v>9</v>
      </c>
      <c r="G114" s="1">
        <v>154.88</v>
      </c>
      <c r="H114" s="2">
        <v>45461.90625</v>
      </c>
      <c r="I114" s="2">
        <v>45462.046527777777</v>
      </c>
      <c r="J114" s="1">
        <f t="shared" si="1"/>
        <v>3.3666666666395031</v>
      </c>
      <c r="K114" s="1">
        <v>46.003960396410783</v>
      </c>
      <c r="L114" s="1">
        <v>27</v>
      </c>
      <c r="M114" s="1">
        <v>0.5</v>
      </c>
      <c r="N114" s="3" t="s">
        <v>3</v>
      </c>
      <c r="O114" s="3" t="s">
        <v>1</v>
      </c>
      <c r="P114" s="8" t="s">
        <v>24</v>
      </c>
      <c r="Q114" s="2">
        <v>45462.054837962962</v>
      </c>
      <c r="R114" s="2">
        <v>45462.082719907405</v>
      </c>
      <c r="S114" s="1"/>
      <c r="T114" s="1" t="s">
        <v>87</v>
      </c>
      <c r="U114" s="1">
        <v>634</v>
      </c>
      <c r="V114" s="1">
        <v>541.20000000000005</v>
      </c>
      <c r="W114" s="1">
        <v>5.4</v>
      </c>
      <c r="X114" s="1">
        <v>16</v>
      </c>
      <c r="Y114" s="1">
        <v>6</v>
      </c>
    </row>
    <row r="115" spans="1:25" x14ac:dyDescent="0.25">
      <c r="A115" s="3">
        <v>111</v>
      </c>
      <c r="C115" s="7">
        <v>45462</v>
      </c>
      <c r="D115" s="3">
        <v>601</v>
      </c>
      <c r="E115" s="1">
        <v>1255.94</v>
      </c>
      <c r="F115" s="3" t="s">
        <v>2</v>
      </c>
      <c r="G115" s="1">
        <f>32.6*20+12+16.33</f>
        <v>680.33</v>
      </c>
      <c r="H115" s="2">
        <v>45462.4375</v>
      </c>
      <c r="I115" s="2">
        <v>45462.753472222219</v>
      </c>
      <c r="J115" s="1">
        <f t="shared" si="1"/>
        <v>7.5833333332557231</v>
      </c>
      <c r="K115" s="1">
        <v>89.713846154764326</v>
      </c>
      <c r="L115" s="1">
        <v>32.6</v>
      </c>
      <c r="M115" s="1">
        <v>0</v>
      </c>
      <c r="N115" s="3" t="s">
        <v>3</v>
      </c>
      <c r="O115" s="3" t="s">
        <v>1</v>
      </c>
      <c r="P115" s="8" t="s">
        <v>24</v>
      </c>
      <c r="Q115" s="2">
        <v>45462.788993055554</v>
      </c>
      <c r="R115" s="2">
        <v>45463.021793981483</v>
      </c>
      <c r="S115" s="1"/>
      <c r="T115" s="1" t="s">
        <v>87</v>
      </c>
      <c r="U115" s="1">
        <v>14674</v>
      </c>
      <c r="V115" s="1">
        <v>11770.200000000003</v>
      </c>
      <c r="W115" s="1">
        <v>118.30000000000001</v>
      </c>
      <c r="X115" s="1">
        <v>300.69999999999993</v>
      </c>
      <c r="Y115" s="1">
        <v>22</v>
      </c>
    </row>
    <row r="116" spans="1:25" x14ac:dyDescent="0.25">
      <c r="A116" s="3">
        <v>112</v>
      </c>
      <c r="C116" s="7">
        <v>45463</v>
      </c>
      <c r="D116" s="3">
        <v>611</v>
      </c>
      <c r="E116" s="1">
        <v>1274.3699999999999</v>
      </c>
      <c r="F116" s="3" t="s">
        <v>2</v>
      </c>
      <c r="G116" s="1">
        <v>673.1</v>
      </c>
      <c r="H116" s="2">
        <v>45463.791666666664</v>
      </c>
      <c r="I116" s="2">
        <v>45464.232638888891</v>
      </c>
      <c r="J116" s="1">
        <f t="shared" si="1"/>
        <v>10.583333333430346</v>
      </c>
      <c r="K116" s="1">
        <v>63.599999999417008</v>
      </c>
      <c r="L116" s="1">
        <v>32.6</v>
      </c>
      <c r="M116" s="1">
        <v>2.5</v>
      </c>
      <c r="N116" s="3" t="s">
        <v>5</v>
      </c>
      <c r="O116" s="3" t="s">
        <v>1</v>
      </c>
      <c r="P116" s="8"/>
      <c r="Q116" s="2">
        <v>45464.257164351853</v>
      </c>
      <c r="R116" s="2">
        <v>45464.445601851854</v>
      </c>
      <c r="S116" s="1"/>
      <c r="T116" s="1" t="s">
        <v>87</v>
      </c>
      <c r="U116" s="1">
        <v>9579</v>
      </c>
      <c r="V116" s="1">
        <v>6744.4999999999991</v>
      </c>
      <c r="W116" s="1">
        <v>67.599999999999966</v>
      </c>
      <c r="X116" s="1">
        <v>199.69999999999993</v>
      </c>
      <c r="Y116" s="1">
        <v>18</v>
      </c>
    </row>
    <row r="117" spans="1:25" x14ac:dyDescent="0.25">
      <c r="A117" s="3">
        <v>113</v>
      </c>
      <c r="C117" s="7">
        <v>45465</v>
      </c>
      <c r="D117" s="3">
        <v>621</v>
      </c>
      <c r="E117" s="1">
        <v>1291.54</v>
      </c>
      <c r="F117" s="3" t="s">
        <v>2</v>
      </c>
      <c r="G117" s="1">
        <v>713</v>
      </c>
      <c r="H117" s="2">
        <v>45465.166666666664</v>
      </c>
      <c r="I117" s="2">
        <v>45465.430555555555</v>
      </c>
      <c r="J117" s="1">
        <f t="shared" si="1"/>
        <v>6.3333333333721384</v>
      </c>
      <c r="K117" s="1">
        <v>112.57894736773127</v>
      </c>
      <c r="L117" s="1">
        <v>32.6</v>
      </c>
      <c r="M117" s="1">
        <v>0</v>
      </c>
      <c r="N117" s="3" t="s">
        <v>5</v>
      </c>
      <c r="O117" s="3" t="s">
        <v>1</v>
      </c>
      <c r="P117" s="8"/>
      <c r="Q117" s="2">
        <v>45465.449837962966</v>
      </c>
      <c r="R117" s="2">
        <v>45465.547210648147</v>
      </c>
      <c r="S117" s="1"/>
      <c r="T117" s="1" t="s">
        <v>87</v>
      </c>
      <c r="U117" s="1">
        <v>5388</v>
      </c>
      <c r="V117" s="1">
        <v>3741.6</v>
      </c>
      <c r="W117" s="1">
        <v>37.500000000000021</v>
      </c>
      <c r="X117" s="1">
        <v>86.9</v>
      </c>
      <c r="Y117" s="1">
        <v>21</v>
      </c>
    </row>
    <row r="118" spans="1:25" x14ac:dyDescent="0.25">
      <c r="A118" s="3">
        <v>114</v>
      </c>
      <c r="C118" s="7">
        <v>45467</v>
      </c>
      <c r="D118" s="3">
        <v>631</v>
      </c>
      <c r="E118" s="1">
        <v>1309.54</v>
      </c>
      <c r="F118" s="3" t="s">
        <v>2</v>
      </c>
      <c r="G118" s="1">
        <v>728.9</v>
      </c>
      <c r="H118" s="2">
        <v>45467.288194444445</v>
      </c>
      <c r="I118" s="2">
        <v>45467.647222222222</v>
      </c>
      <c r="J118" s="1">
        <f t="shared" si="1"/>
        <v>8.6166666666395031</v>
      </c>
      <c r="K118" s="1">
        <v>84.591876209164155</v>
      </c>
      <c r="L118" s="1">
        <v>32.6</v>
      </c>
      <c r="M118" s="1">
        <v>1.5</v>
      </c>
      <c r="N118" s="3" t="s">
        <v>5</v>
      </c>
      <c r="O118" s="3" t="s">
        <v>1</v>
      </c>
      <c r="P118" s="8"/>
      <c r="Q118" s="2">
        <v>45467.650451388887</v>
      </c>
      <c r="R118" s="2">
        <v>45467.976666666669</v>
      </c>
      <c r="S118" s="1"/>
      <c r="T118" s="1" t="s">
        <v>87</v>
      </c>
      <c r="U118" s="1">
        <v>16839</v>
      </c>
      <c r="V118" s="1">
        <v>13330</v>
      </c>
      <c r="W118" s="1">
        <v>135</v>
      </c>
      <c r="X118" s="1">
        <v>338</v>
      </c>
      <c r="Y118" s="1">
        <v>23</v>
      </c>
    </row>
    <row r="119" spans="1:25" x14ac:dyDescent="0.25">
      <c r="A119" s="3">
        <v>115</v>
      </c>
      <c r="C119" s="7">
        <v>45468</v>
      </c>
      <c r="D119" s="3">
        <v>641</v>
      </c>
      <c r="E119" s="1">
        <v>1327.6</v>
      </c>
      <c r="F119" s="3" t="str">
        <f>F118</f>
        <v>Injection</v>
      </c>
      <c r="G119" s="1">
        <v>680.7</v>
      </c>
      <c r="H119" s="2">
        <v>45468.461805555555</v>
      </c>
      <c r="I119" s="2">
        <v>45469.208333333336</v>
      </c>
      <c r="J119" s="1">
        <f t="shared" si="1"/>
        <v>17.916666666744277</v>
      </c>
      <c r="K119" s="1">
        <v>37.99255813937031</v>
      </c>
      <c r="L119" s="1">
        <v>32.6</v>
      </c>
      <c r="M119" s="1">
        <v>264</v>
      </c>
      <c r="N119" s="3" t="s">
        <v>5</v>
      </c>
      <c r="O119" s="3" t="s">
        <v>1</v>
      </c>
      <c r="P119" s="8"/>
      <c r="Q119" s="2">
        <v>45469.1719212963</v>
      </c>
      <c r="R119" s="2">
        <v>45469.589212962965</v>
      </c>
      <c r="S119" s="1"/>
      <c r="T119" s="1" t="s">
        <v>87</v>
      </c>
      <c r="U119" s="1">
        <v>24776</v>
      </c>
      <c r="V119" s="1">
        <v>19727</v>
      </c>
      <c r="W119" s="1">
        <v>202</v>
      </c>
      <c r="X119" s="1">
        <v>448</v>
      </c>
      <c r="Y119" s="1">
        <v>22</v>
      </c>
    </row>
    <row r="120" spans="1:25" x14ac:dyDescent="0.25">
      <c r="A120" s="3">
        <v>116</v>
      </c>
      <c r="C120" s="7">
        <v>45470</v>
      </c>
      <c r="D120" s="3">
        <v>643</v>
      </c>
      <c r="E120" s="1">
        <v>1331.53</v>
      </c>
      <c r="F120" s="3" t="s">
        <v>9</v>
      </c>
      <c r="G120" s="1">
        <v>162</v>
      </c>
      <c r="H120" s="2">
        <v>45470.006944444445</v>
      </c>
      <c r="I120" s="2">
        <v>45470.208333333336</v>
      </c>
      <c r="J120" s="1">
        <f t="shared" si="1"/>
        <v>4.8333333333721384</v>
      </c>
      <c r="K120" s="1">
        <v>33.517241379041245</v>
      </c>
      <c r="L120" s="1">
        <v>27</v>
      </c>
      <c r="M120" s="1">
        <v>0</v>
      </c>
      <c r="N120" s="3" t="s">
        <v>3</v>
      </c>
      <c r="O120" s="3">
        <v>1</v>
      </c>
      <c r="P120" s="8" t="s">
        <v>24</v>
      </c>
      <c r="Q120" s="2">
        <v>45470.215127314812</v>
      </c>
      <c r="R120" s="2">
        <v>45470.287407407406</v>
      </c>
      <c r="S120" s="1"/>
      <c r="T120" s="1" t="s">
        <v>87</v>
      </c>
      <c r="U120" s="1">
        <v>3161</v>
      </c>
      <c r="V120" s="1">
        <v>2440.6999999999998</v>
      </c>
      <c r="W120" s="1">
        <v>24.4</v>
      </c>
      <c r="X120" s="1">
        <v>72.2</v>
      </c>
      <c r="Y120" s="1">
        <v>6</v>
      </c>
    </row>
    <row r="121" spans="1:25" x14ac:dyDescent="0.25">
      <c r="A121" s="3">
        <v>117</v>
      </c>
      <c r="C121" s="7">
        <v>45471</v>
      </c>
      <c r="D121" s="3">
        <v>651</v>
      </c>
      <c r="E121" s="1">
        <v>1345.92</v>
      </c>
      <c r="F121" s="3" t="str">
        <f>F119</f>
        <v>Injection</v>
      </c>
      <c r="G121" s="1">
        <v>754.2</v>
      </c>
      <c r="H121" s="2">
        <v>45470.694444444445</v>
      </c>
      <c r="I121" s="2">
        <v>45471.283333333333</v>
      </c>
      <c r="J121" s="1">
        <f t="shared" si="1"/>
        <v>14.133333333302289</v>
      </c>
      <c r="K121" s="1">
        <v>53.363207547287026</v>
      </c>
      <c r="L121" s="1">
        <v>32.6</v>
      </c>
      <c r="M121" s="1">
        <v>1.8</v>
      </c>
      <c r="N121" s="3" t="s">
        <v>5</v>
      </c>
      <c r="O121" s="3" t="s">
        <v>1</v>
      </c>
      <c r="P121" s="8"/>
      <c r="Q121" s="2">
        <v>45471.164224537039</v>
      </c>
      <c r="R121" s="2">
        <v>45471.528148148151</v>
      </c>
      <c r="S121" s="1"/>
      <c r="T121" s="1" t="s">
        <v>87</v>
      </c>
      <c r="U121" s="1">
        <v>18204</v>
      </c>
      <c r="V121" s="1">
        <v>14079</v>
      </c>
      <c r="W121" s="1">
        <v>141</v>
      </c>
      <c r="X121" s="1">
        <v>390</v>
      </c>
      <c r="Y121" s="1">
        <v>24</v>
      </c>
    </row>
    <row r="122" spans="1:25" x14ac:dyDescent="0.25">
      <c r="A122" s="3">
        <v>118</v>
      </c>
      <c r="C122" s="7">
        <v>45471</v>
      </c>
      <c r="D122" s="3">
        <v>661</v>
      </c>
      <c r="E122" s="1">
        <v>1363.93</v>
      </c>
      <c r="F122" s="3" t="str">
        <f t="shared" ref="F122:F185" si="3">F121</f>
        <v>Injection</v>
      </c>
      <c r="G122" s="1">
        <v>665.1</v>
      </c>
      <c r="H122" s="2">
        <v>45471.926388888889</v>
      </c>
      <c r="I122" s="2">
        <v>45472.431250000001</v>
      </c>
      <c r="J122" s="1">
        <f t="shared" si="1"/>
        <v>12.116666666697711</v>
      </c>
      <c r="K122" s="1">
        <v>54.891334250203244</v>
      </c>
      <c r="L122" s="1">
        <v>32.6</v>
      </c>
      <c r="M122" s="1">
        <v>0</v>
      </c>
      <c r="N122" s="3" t="s">
        <v>5</v>
      </c>
      <c r="O122" s="3" t="s">
        <v>1</v>
      </c>
      <c r="P122" s="8"/>
      <c r="Q122" s="2">
        <v>45472.44253472222</v>
      </c>
      <c r="R122" s="2">
        <v>45472.591574074075</v>
      </c>
      <c r="S122" s="1"/>
      <c r="T122" s="1" t="s">
        <v>87</v>
      </c>
      <c r="U122" s="1">
        <v>10459</v>
      </c>
      <c r="V122" s="1">
        <v>8004</v>
      </c>
      <c r="W122" s="1">
        <v>83</v>
      </c>
      <c r="X122" s="1">
        <v>221</v>
      </c>
      <c r="Y122" s="1">
        <v>23</v>
      </c>
    </row>
    <row r="123" spans="1:25" x14ac:dyDescent="0.25">
      <c r="A123" s="3">
        <v>119</v>
      </c>
      <c r="C123" s="7">
        <v>45474</v>
      </c>
      <c r="D123" s="3">
        <v>671</v>
      </c>
      <c r="E123" s="1">
        <v>1382</v>
      </c>
      <c r="F123" s="3" t="str">
        <f t="shared" si="3"/>
        <v>Injection</v>
      </c>
      <c r="G123" s="1">
        <v>759.8</v>
      </c>
      <c r="H123" s="2">
        <v>45474.34375</v>
      </c>
      <c r="I123" s="2">
        <v>45474.715277777781</v>
      </c>
      <c r="J123" s="1">
        <f t="shared" si="1"/>
        <v>8.9166666667442769</v>
      </c>
      <c r="K123" s="1">
        <v>85.211214952529346</v>
      </c>
      <c r="L123" s="1">
        <v>32.6</v>
      </c>
      <c r="M123" s="1">
        <v>0</v>
      </c>
      <c r="N123" s="3" t="s">
        <v>5</v>
      </c>
      <c r="O123" s="3" t="s">
        <v>1</v>
      </c>
      <c r="P123" s="8"/>
      <c r="Q123" s="2">
        <v>45474.730879629627</v>
      </c>
      <c r="R123" s="2">
        <v>45474.959490740737</v>
      </c>
      <c r="S123" s="1"/>
      <c r="T123" s="1" t="s">
        <v>87</v>
      </c>
      <c r="U123" s="1">
        <v>11211</v>
      </c>
      <c r="V123" s="1">
        <v>9302</v>
      </c>
      <c r="W123" s="1">
        <v>105</v>
      </c>
      <c r="X123" s="1">
        <v>304</v>
      </c>
      <c r="Y123" s="1">
        <v>23</v>
      </c>
    </row>
    <row r="124" spans="1:25" x14ac:dyDescent="0.25">
      <c r="A124" s="3">
        <v>120</v>
      </c>
      <c r="C124" s="7">
        <v>45475</v>
      </c>
      <c r="D124" s="3">
        <v>681</v>
      </c>
      <c r="E124" s="1">
        <v>1400</v>
      </c>
      <c r="F124" s="3" t="str">
        <f t="shared" si="3"/>
        <v>Injection</v>
      </c>
      <c r="G124" s="1">
        <f>391.2-18.3</f>
        <v>372.9</v>
      </c>
      <c r="H124" s="2">
        <v>45475.319444444445</v>
      </c>
      <c r="I124" s="2">
        <v>45475.541666666664</v>
      </c>
      <c r="J124" s="1">
        <f t="shared" si="1"/>
        <v>5.3333333332557231</v>
      </c>
      <c r="K124" s="1">
        <v>69.918750001017443</v>
      </c>
      <c r="L124" s="1">
        <v>32.6</v>
      </c>
      <c r="M124" s="1">
        <v>0</v>
      </c>
      <c r="N124" s="3" t="s">
        <v>5</v>
      </c>
      <c r="O124" s="3">
        <v>1</v>
      </c>
      <c r="P124" s="8"/>
      <c r="Q124" s="2">
        <v>45475.563483796293</v>
      </c>
      <c r="R124" s="2">
        <v>45475.646782407406</v>
      </c>
      <c r="S124" s="1"/>
      <c r="T124" s="1" t="s">
        <v>87</v>
      </c>
      <c r="U124" s="1">
        <v>2685</v>
      </c>
      <c r="V124" s="1">
        <v>2223</v>
      </c>
      <c r="W124" s="1">
        <v>22</v>
      </c>
      <c r="X124" s="1">
        <v>60</v>
      </c>
      <c r="Y124" s="1">
        <v>12</v>
      </c>
    </row>
    <row r="125" spans="1:25" x14ac:dyDescent="0.25">
      <c r="A125" s="3">
        <v>121</v>
      </c>
      <c r="C125" s="7">
        <v>45476</v>
      </c>
      <c r="D125" s="3">
        <v>691</v>
      </c>
      <c r="E125" s="1">
        <v>1418</v>
      </c>
      <c r="F125" s="3" t="str">
        <f t="shared" si="3"/>
        <v>Injection</v>
      </c>
      <c r="G125" s="1">
        <v>391.2</v>
      </c>
      <c r="H125" s="2">
        <v>45476.020833333336</v>
      </c>
      <c r="I125" s="2">
        <v>45476.207638888889</v>
      </c>
      <c r="J125" s="1">
        <f t="shared" si="1"/>
        <v>4.4833333332790062</v>
      </c>
      <c r="K125" s="1">
        <v>87.256505577265514</v>
      </c>
      <c r="L125" s="1">
        <v>32.6</v>
      </c>
      <c r="M125" s="1">
        <v>0</v>
      </c>
      <c r="N125" s="3" t="s">
        <v>5</v>
      </c>
      <c r="O125" s="3">
        <v>1</v>
      </c>
      <c r="P125" s="8"/>
      <c r="Q125" s="2">
        <v>45476.261122685188</v>
      </c>
      <c r="R125" s="2">
        <v>45476.301655092589</v>
      </c>
      <c r="S125" s="1"/>
      <c r="T125" s="1" t="s">
        <v>87</v>
      </c>
      <c r="U125" s="1">
        <v>1760</v>
      </c>
      <c r="V125" s="1">
        <v>1443</v>
      </c>
      <c r="W125" s="1">
        <v>16</v>
      </c>
      <c r="X125" s="1">
        <v>32</v>
      </c>
      <c r="Y125" s="1">
        <v>10</v>
      </c>
    </row>
    <row r="126" spans="1:25" x14ac:dyDescent="0.25">
      <c r="A126" s="3">
        <v>122</v>
      </c>
      <c r="C126" s="7">
        <v>45476</v>
      </c>
      <c r="D126" s="3">
        <v>701</v>
      </c>
      <c r="E126" s="1">
        <v>1436</v>
      </c>
      <c r="F126" s="3" t="str">
        <f t="shared" si="3"/>
        <v>Injection</v>
      </c>
      <c r="G126" s="1">
        <v>391.2</v>
      </c>
      <c r="H126" s="2">
        <v>45476.020833333336</v>
      </c>
      <c r="I126" s="2">
        <v>45476.207638888889</v>
      </c>
      <c r="J126" s="1">
        <f t="shared" si="1"/>
        <v>4.4833333332790062</v>
      </c>
      <c r="K126" s="1">
        <v>87.256505577265514</v>
      </c>
      <c r="L126" s="1">
        <v>32.6</v>
      </c>
      <c r="M126" s="1">
        <v>0</v>
      </c>
      <c r="N126" s="3" t="s">
        <v>5</v>
      </c>
      <c r="O126" s="3" t="s">
        <v>1</v>
      </c>
      <c r="P126" s="8"/>
      <c r="Q126" s="2">
        <v>45476.926087962966</v>
      </c>
      <c r="R126" s="2">
        <v>45477.052453703705</v>
      </c>
      <c r="S126" s="1"/>
      <c r="T126" s="1" t="s">
        <v>87</v>
      </c>
      <c r="U126" s="1">
        <v>5451</v>
      </c>
      <c r="V126" s="1">
        <v>4318</v>
      </c>
      <c r="W126" s="1">
        <v>52</v>
      </c>
      <c r="X126" s="1">
        <v>160</v>
      </c>
      <c r="Y126" s="1">
        <v>10</v>
      </c>
    </row>
    <row r="127" spans="1:25" x14ac:dyDescent="0.25">
      <c r="A127" s="3">
        <v>123</v>
      </c>
      <c r="C127" s="7">
        <v>45477</v>
      </c>
      <c r="D127" s="3">
        <v>711</v>
      </c>
      <c r="E127" s="1">
        <v>1454</v>
      </c>
      <c r="F127" s="3" t="str">
        <f t="shared" si="3"/>
        <v>Injection</v>
      </c>
      <c r="G127" s="1">
        <v>391.2</v>
      </c>
      <c r="H127" s="2">
        <v>45477.447916666664</v>
      </c>
      <c r="I127" s="2">
        <v>45477.708333333336</v>
      </c>
      <c r="J127" s="1">
        <f t="shared" si="1"/>
        <v>6.2500000001164153</v>
      </c>
      <c r="K127" s="1">
        <v>62.591999998834133</v>
      </c>
      <c r="L127" s="1">
        <v>32.6</v>
      </c>
      <c r="M127" s="1">
        <v>0</v>
      </c>
      <c r="N127" s="3" t="s">
        <v>5</v>
      </c>
      <c r="O127" s="3" t="s">
        <v>1</v>
      </c>
      <c r="P127" s="8"/>
      <c r="Q127" s="2">
        <v>45477.753958333335</v>
      </c>
      <c r="R127" s="2">
        <v>45477.888171296298</v>
      </c>
      <c r="S127" s="1"/>
      <c r="T127" s="1" t="s">
        <v>87</v>
      </c>
      <c r="U127" s="1">
        <v>5623</v>
      </c>
      <c r="V127" s="1">
        <v>4339</v>
      </c>
      <c r="W127" s="1">
        <v>44</v>
      </c>
      <c r="X127" s="1">
        <v>129</v>
      </c>
      <c r="Y127" s="1">
        <v>12</v>
      </c>
    </row>
    <row r="128" spans="1:25" x14ac:dyDescent="0.25">
      <c r="A128" s="3">
        <v>124</v>
      </c>
      <c r="C128" s="7">
        <v>45478</v>
      </c>
      <c r="D128" s="3">
        <v>721</v>
      </c>
      <c r="E128" s="1">
        <v>1472</v>
      </c>
      <c r="F128" s="3" t="str">
        <f t="shared" si="3"/>
        <v>Injection</v>
      </c>
      <c r="G128" s="1">
        <v>391.2</v>
      </c>
      <c r="H128" s="2">
        <v>45478.28125</v>
      </c>
      <c r="I128" s="2">
        <v>45478.51666666667</v>
      </c>
      <c r="J128" s="1">
        <f t="shared" si="1"/>
        <v>5.6500000000814907</v>
      </c>
      <c r="K128" s="1">
        <v>69.238938052098703</v>
      </c>
      <c r="L128" s="1">
        <v>32.6</v>
      </c>
      <c r="M128" s="1">
        <v>1</v>
      </c>
      <c r="N128" s="3" t="s">
        <v>5</v>
      </c>
      <c r="O128" s="3" t="s">
        <v>1</v>
      </c>
      <c r="P128" s="8"/>
      <c r="Q128" s="2">
        <v>45478.539502314816</v>
      </c>
      <c r="R128" s="2">
        <v>45478.625625000001</v>
      </c>
      <c r="S128" s="1"/>
      <c r="T128" s="1" t="s">
        <v>87</v>
      </c>
      <c r="U128" s="1">
        <v>5464</v>
      </c>
      <c r="V128" s="1">
        <v>4060</v>
      </c>
      <c r="W128" s="1">
        <v>42</v>
      </c>
      <c r="X128" s="1">
        <v>123</v>
      </c>
      <c r="Y128" s="1">
        <v>12</v>
      </c>
    </row>
    <row r="129" spans="1:25" x14ac:dyDescent="0.25">
      <c r="A129" s="3">
        <v>125</v>
      </c>
      <c r="C129" s="7">
        <v>45479</v>
      </c>
      <c r="D129" s="3">
        <v>731</v>
      </c>
      <c r="E129" s="1">
        <v>1490</v>
      </c>
      <c r="F129" s="3" t="str">
        <f t="shared" si="3"/>
        <v>Injection</v>
      </c>
      <c r="G129" s="1">
        <v>480</v>
      </c>
      <c r="H129" s="2">
        <v>45479.065972222219</v>
      </c>
      <c r="I129" s="2">
        <v>45479.25</v>
      </c>
      <c r="J129" s="1">
        <f t="shared" si="1"/>
        <v>4.4166666667442769</v>
      </c>
      <c r="K129" s="1">
        <v>108.67924528110915</v>
      </c>
      <c r="L129" s="1">
        <v>40</v>
      </c>
      <c r="M129" s="1">
        <v>0</v>
      </c>
      <c r="N129" s="3" t="s">
        <v>5</v>
      </c>
      <c r="O129" s="3" t="s">
        <v>1</v>
      </c>
      <c r="P129" s="8"/>
      <c r="Q129" s="2">
        <v>45479.269097222219</v>
      </c>
      <c r="R129" s="2">
        <v>45479.343900462962</v>
      </c>
      <c r="S129" s="1"/>
      <c r="T129" s="1" t="s">
        <v>87</v>
      </c>
      <c r="U129" s="1">
        <v>5144</v>
      </c>
      <c r="V129" s="1">
        <v>3442</v>
      </c>
      <c r="W129" s="1">
        <v>35</v>
      </c>
      <c r="X129" s="1">
        <v>30</v>
      </c>
      <c r="Y129" s="1">
        <v>12</v>
      </c>
    </row>
    <row r="130" spans="1:25" x14ac:dyDescent="0.25">
      <c r="A130" s="3">
        <v>126</v>
      </c>
      <c r="C130" s="7">
        <v>45479</v>
      </c>
      <c r="D130" s="3">
        <v>743</v>
      </c>
      <c r="E130" s="1">
        <v>1512.6</v>
      </c>
      <c r="F130" s="3" t="str">
        <f t="shared" si="3"/>
        <v>Injection</v>
      </c>
      <c r="G130" s="1">
        <v>480</v>
      </c>
      <c r="H130" s="2">
        <v>45479.743055555555</v>
      </c>
      <c r="I130" s="2">
        <v>45479.908333333333</v>
      </c>
      <c r="J130" s="1">
        <f t="shared" ref="J130:J193" si="4">(I130-H130)*24</f>
        <v>3.9666666666744277</v>
      </c>
      <c r="K130" s="1">
        <v>121.00840336110778</v>
      </c>
      <c r="L130" s="1">
        <v>40</v>
      </c>
      <c r="M130" s="1">
        <v>0</v>
      </c>
      <c r="N130" s="3" t="s">
        <v>5</v>
      </c>
      <c r="O130" s="3" t="s">
        <v>1</v>
      </c>
      <c r="P130" s="8"/>
      <c r="Q130" s="2">
        <v>45479.925219907411</v>
      </c>
      <c r="R130" s="2">
        <v>45479.978101851855</v>
      </c>
      <c r="S130" s="1"/>
      <c r="T130" s="1" t="s">
        <v>87</v>
      </c>
      <c r="U130" s="1">
        <v>2148</v>
      </c>
      <c r="V130" s="1">
        <v>1803</v>
      </c>
      <c r="W130" s="1">
        <v>18</v>
      </c>
      <c r="X130" s="1">
        <v>53</v>
      </c>
      <c r="Y130" s="1">
        <v>12</v>
      </c>
    </row>
    <row r="131" spans="1:25" x14ac:dyDescent="0.25">
      <c r="A131" s="3">
        <v>127</v>
      </c>
      <c r="C131" s="7">
        <v>45481</v>
      </c>
      <c r="D131" s="3">
        <v>755</v>
      </c>
      <c r="E131" s="1">
        <v>1533</v>
      </c>
      <c r="F131" s="3" t="str">
        <f t="shared" si="3"/>
        <v>Injection</v>
      </c>
      <c r="G131" s="1">
        <v>478</v>
      </c>
      <c r="H131" s="2">
        <v>45481.9375</v>
      </c>
      <c r="I131" s="2">
        <v>45482.34375</v>
      </c>
      <c r="J131" s="1">
        <f t="shared" si="4"/>
        <v>9.75</v>
      </c>
      <c r="K131" s="1">
        <v>49.025641025641029</v>
      </c>
      <c r="L131" s="1">
        <v>40</v>
      </c>
      <c r="M131" s="1">
        <v>0</v>
      </c>
      <c r="N131" s="3" t="s">
        <v>5</v>
      </c>
      <c r="O131" s="3" t="s">
        <v>1</v>
      </c>
      <c r="P131" s="8"/>
      <c r="Q131" s="2">
        <v>45482.234224537038</v>
      </c>
      <c r="R131" s="2">
        <v>45482.373553240737</v>
      </c>
      <c r="S131" s="1"/>
      <c r="T131" s="1" t="s">
        <v>87</v>
      </c>
      <c r="U131" s="1">
        <v>7751</v>
      </c>
      <c r="V131" s="1">
        <v>4582</v>
      </c>
      <c r="W131" s="1">
        <v>59</v>
      </c>
      <c r="X131" s="1">
        <v>176</v>
      </c>
      <c r="Y131" s="1">
        <v>11</v>
      </c>
    </row>
    <row r="132" spans="1:25" x14ac:dyDescent="0.25">
      <c r="A132" s="3">
        <v>128</v>
      </c>
      <c r="C132" s="7">
        <v>45482</v>
      </c>
      <c r="D132" s="3">
        <v>767</v>
      </c>
      <c r="E132" s="1">
        <v>1555</v>
      </c>
      <c r="F132" s="3" t="str">
        <f t="shared" si="3"/>
        <v>Injection</v>
      </c>
      <c r="G132" s="1">
        <v>480</v>
      </c>
      <c r="H132" s="2">
        <v>45482.878472222219</v>
      </c>
      <c r="I132" s="2">
        <v>45483.131944444445</v>
      </c>
      <c r="J132" s="1">
        <f t="shared" si="4"/>
        <v>6.0833333334303461</v>
      </c>
      <c r="K132" s="1">
        <v>78.904109587782784</v>
      </c>
      <c r="L132" s="1">
        <v>40</v>
      </c>
      <c r="M132" s="1">
        <v>0</v>
      </c>
      <c r="N132" s="3" t="s">
        <v>5</v>
      </c>
      <c r="O132" s="3" t="s">
        <v>1</v>
      </c>
      <c r="P132" s="8"/>
      <c r="Q132" s="2">
        <v>45483.153368055559</v>
      </c>
      <c r="R132" s="2">
        <v>45483.395405092589</v>
      </c>
      <c r="S132" s="1"/>
      <c r="T132" s="1" t="s">
        <v>87</v>
      </c>
      <c r="U132" s="1">
        <v>12172</v>
      </c>
      <c r="V132" s="1">
        <v>6007</v>
      </c>
      <c r="W132" s="1">
        <v>77</v>
      </c>
      <c r="X132" s="1">
        <v>181</v>
      </c>
      <c r="Y132" s="1">
        <v>12</v>
      </c>
    </row>
    <row r="133" spans="1:25" x14ac:dyDescent="0.25">
      <c r="A133" s="3">
        <v>129</v>
      </c>
      <c r="C133" s="7">
        <v>45483</v>
      </c>
      <c r="D133" s="3">
        <v>779</v>
      </c>
      <c r="E133" s="1">
        <v>1576</v>
      </c>
      <c r="F133" s="3" t="str">
        <f t="shared" si="3"/>
        <v>Injection</v>
      </c>
      <c r="G133" s="1">
        <v>480</v>
      </c>
      <c r="H133" s="2">
        <v>45483.958333333336</v>
      </c>
      <c r="I133" s="2">
        <v>45484.173611111109</v>
      </c>
      <c r="J133" s="1">
        <f t="shared" si="4"/>
        <v>5.1666666665696539</v>
      </c>
      <c r="K133" s="1">
        <v>92.903225808196026</v>
      </c>
      <c r="L133" s="1">
        <v>40</v>
      </c>
      <c r="M133" s="1">
        <v>6</v>
      </c>
      <c r="N133" s="3" t="s">
        <v>5</v>
      </c>
      <c r="O133" s="3" t="s">
        <v>1</v>
      </c>
      <c r="P133" s="8"/>
      <c r="Q133" s="2">
        <v>45484.191527777781</v>
      </c>
      <c r="R133" s="2">
        <v>45484.387071759258</v>
      </c>
      <c r="S133" s="1"/>
      <c r="T133" s="1" t="s">
        <v>87</v>
      </c>
      <c r="U133" s="1">
        <v>12294</v>
      </c>
      <c r="V133" s="1">
        <v>8600.7999999999993</v>
      </c>
      <c r="W133" s="1">
        <v>208.9</v>
      </c>
      <c r="X133" s="1">
        <v>90.4</v>
      </c>
      <c r="Y133" s="1">
        <v>12</v>
      </c>
    </row>
    <row r="134" spans="1:25" x14ac:dyDescent="0.25">
      <c r="A134" s="3">
        <v>130</v>
      </c>
      <c r="C134" s="7">
        <v>45484</v>
      </c>
      <c r="D134" s="3">
        <v>791</v>
      </c>
      <c r="E134" s="1">
        <v>1598</v>
      </c>
      <c r="F134" s="3" t="str">
        <f t="shared" si="3"/>
        <v>Injection</v>
      </c>
      <c r="G134" s="1">
        <v>480</v>
      </c>
      <c r="H134" s="2">
        <v>45484.902777777781</v>
      </c>
      <c r="I134" s="2">
        <v>45485.111111111109</v>
      </c>
      <c r="J134" s="1">
        <f t="shared" si="4"/>
        <v>4.9999999998835847</v>
      </c>
      <c r="K134" s="1">
        <v>96.000000002235168</v>
      </c>
      <c r="L134" s="1">
        <v>40</v>
      </c>
      <c r="M134" s="1">
        <v>0</v>
      </c>
      <c r="N134" s="3" t="s">
        <v>5</v>
      </c>
      <c r="O134" s="3" t="s">
        <v>1</v>
      </c>
      <c r="P134" s="8"/>
      <c r="Q134" s="2">
        <v>45485.120127314818</v>
      </c>
      <c r="R134" s="2">
        <v>45485.174699074072</v>
      </c>
      <c r="S134" s="1"/>
      <c r="T134" s="1" t="s">
        <v>87</v>
      </c>
      <c r="U134" s="1">
        <v>3857</v>
      </c>
      <c r="V134" s="1">
        <v>2578</v>
      </c>
      <c r="W134" s="1">
        <v>25.9</v>
      </c>
      <c r="X134" s="1">
        <v>76.400000000000006</v>
      </c>
      <c r="Y134" s="1">
        <v>12</v>
      </c>
    </row>
    <row r="135" spans="1:25" x14ac:dyDescent="0.25">
      <c r="A135" s="3">
        <v>131</v>
      </c>
      <c r="C135" s="7">
        <v>45485</v>
      </c>
      <c r="D135" s="3">
        <v>803</v>
      </c>
      <c r="E135" s="1">
        <v>1619</v>
      </c>
      <c r="F135" s="3" t="str">
        <f t="shared" si="3"/>
        <v>Injection</v>
      </c>
      <c r="G135" s="1">
        <v>480</v>
      </c>
      <c r="H135" s="2">
        <v>45485.59375</v>
      </c>
      <c r="I135" s="2">
        <v>45485.722222222219</v>
      </c>
      <c r="J135" s="1">
        <f t="shared" si="4"/>
        <v>3.0833333332557231</v>
      </c>
      <c r="K135" s="1">
        <v>155.67567567959418</v>
      </c>
      <c r="L135" s="1">
        <v>40</v>
      </c>
      <c r="M135" s="1">
        <v>0</v>
      </c>
      <c r="N135" s="3" t="s">
        <v>5</v>
      </c>
      <c r="O135" s="3" t="s">
        <v>1</v>
      </c>
      <c r="P135" s="8"/>
      <c r="Q135" s="2">
        <v>45485.741307870368</v>
      </c>
      <c r="R135" s="2">
        <v>45485.876238425924</v>
      </c>
      <c r="S135" s="1"/>
      <c r="T135" s="1" t="s">
        <v>87</v>
      </c>
      <c r="U135" s="1">
        <v>4709</v>
      </c>
      <c r="V135" s="1">
        <v>3448</v>
      </c>
      <c r="W135" s="1">
        <v>49</v>
      </c>
      <c r="X135" s="1">
        <v>133</v>
      </c>
      <c r="Y135" s="1">
        <v>12</v>
      </c>
    </row>
    <row r="136" spans="1:25" x14ac:dyDescent="0.25">
      <c r="A136" s="3">
        <v>132</v>
      </c>
      <c r="C136" s="7">
        <v>45502</v>
      </c>
      <c r="D136" s="3">
        <v>813</v>
      </c>
      <c r="E136" s="1">
        <v>1637.8</v>
      </c>
      <c r="F136" s="3" t="str">
        <f t="shared" si="3"/>
        <v>Injection</v>
      </c>
      <c r="G136" s="1">
        <v>480</v>
      </c>
      <c r="H136" s="2">
        <v>45502.291666666664</v>
      </c>
      <c r="I136" s="2">
        <v>45502.645833333336</v>
      </c>
      <c r="J136" s="1">
        <f t="shared" si="4"/>
        <v>8.5000000001164153</v>
      </c>
      <c r="K136" s="1">
        <v>56.470588234520704</v>
      </c>
      <c r="L136" s="1">
        <v>40</v>
      </c>
      <c r="M136" s="1">
        <v>0</v>
      </c>
      <c r="N136" s="3" t="s">
        <v>5</v>
      </c>
      <c r="O136" s="3" t="s">
        <v>1</v>
      </c>
      <c r="P136" s="8"/>
      <c r="Q136" s="2">
        <v>45502.660937499997</v>
      </c>
      <c r="R136" s="2">
        <v>45502.798738425925</v>
      </c>
      <c r="S136" s="1"/>
      <c r="T136" s="1" t="s">
        <v>87</v>
      </c>
      <c r="U136" s="1">
        <v>3918</v>
      </c>
      <c r="V136" s="1">
        <v>3134</v>
      </c>
      <c r="W136" s="1">
        <v>31.5</v>
      </c>
      <c r="X136" s="1">
        <v>93</v>
      </c>
      <c r="Y136" s="1">
        <v>12</v>
      </c>
    </row>
    <row r="137" spans="1:25" x14ac:dyDescent="0.25">
      <c r="A137" s="3">
        <v>133</v>
      </c>
      <c r="C137" s="7">
        <v>45503</v>
      </c>
      <c r="D137" s="3">
        <v>822</v>
      </c>
      <c r="E137" s="1">
        <v>1656</v>
      </c>
      <c r="F137" s="3" t="str">
        <f t="shared" si="3"/>
        <v>Injection</v>
      </c>
      <c r="G137" s="1">
        <v>480</v>
      </c>
      <c r="H137" s="2">
        <v>45503.375</v>
      </c>
      <c r="I137" s="2">
        <v>45503.552083333336</v>
      </c>
      <c r="J137" s="1">
        <f t="shared" si="4"/>
        <v>4.2500000000582077</v>
      </c>
      <c r="K137" s="1">
        <v>112.94117646904141</v>
      </c>
      <c r="L137" s="1">
        <v>40</v>
      </c>
      <c r="M137" s="1">
        <v>0</v>
      </c>
      <c r="N137" s="3" t="s">
        <v>5</v>
      </c>
      <c r="O137" s="3">
        <v>1</v>
      </c>
      <c r="P137" s="8"/>
      <c r="Q137" s="2">
        <v>45503.619444444441</v>
      </c>
      <c r="R137" s="2">
        <v>45503.69027777778</v>
      </c>
      <c r="S137" s="1"/>
      <c r="T137" s="1" t="s">
        <v>87</v>
      </c>
      <c r="U137" s="1">
        <v>3927</v>
      </c>
      <c r="V137" s="1">
        <v>3048</v>
      </c>
      <c r="W137" s="1">
        <v>4</v>
      </c>
      <c r="X137" s="1">
        <v>91</v>
      </c>
      <c r="Y137" s="1">
        <v>12</v>
      </c>
    </row>
    <row r="138" spans="1:25" x14ac:dyDescent="0.25">
      <c r="A138" s="3">
        <v>134</v>
      </c>
      <c r="C138" s="7">
        <v>45504</v>
      </c>
      <c r="D138" s="3">
        <v>835</v>
      </c>
      <c r="E138" s="1">
        <v>1677</v>
      </c>
      <c r="F138" s="3" t="str">
        <f t="shared" si="3"/>
        <v>Injection</v>
      </c>
      <c r="G138" s="1">
        <v>480</v>
      </c>
      <c r="H138" s="2">
        <v>45504.625</v>
      </c>
      <c r="I138" s="2">
        <v>45504.951388888891</v>
      </c>
      <c r="J138" s="1">
        <f t="shared" si="4"/>
        <v>7.8333333333721384</v>
      </c>
      <c r="K138" s="1">
        <v>61.276595744377296</v>
      </c>
      <c r="L138" s="1">
        <v>40</v>
      </c>
      <c r="M138" s="1">
        <v>2</v>
      </c>
      <c r="N138" s="3" t="s">
        <v>3</v>
      </c>
      <c r="O138" s="3" t="s">
        <v>1</v>
      </c>
      <c r="P138" s="8" t="s">
        <v>8</v>
      </c>
      <c r="Q138" s="2">
        <v>45504.956250000003</v>
      </c>
      <c r="R138" s="2">
        <v>45505.029166666667</v>
      </c>
      <c r="S138" s="1"/>
      <c r="T138" s="1" t="s">
        <v>87</v>
      </c>
      <c r="U138" s="1">
        <v>5538</v>
      </c>
      <c r="V138" s="1">
        <v>3940</v>
      </c>
      <c r="W138" s="1">
        <v>41</v>
      </c>
      <c r="X138" s="1">
        <v>122</v>
      </c>
      <c r="Y138" s="1">
        <v>12</v>
      </c>
    </row>
    <row r="139" spans="1:25" x14ac:dyDescent="0.25">
      <c r="A139" s="3">
        <v>135</v>
      </c>
      <c r="C139" s="7">
        <v>45505</v>
      </c>
      <c r="D139" s="3">
        <v>847</v>
      </c>
      <c r="E139" s="1">
        <v>1699</v>
      </c>
      <c r="F139" s="3" t="str">
        <f t="shared" si="3"/>
        <v>Injection</v>
      </c>
      <c r="G139" s="1">
        <v>480</v>
      </c>
      <c r="H139" s="2">
        <v>45505.520833333336</v>
      </c>
      <c r="I139" s="2">
        <v>45505.857638888891</v>
      </c>
      <c r="J139" s="1">
        <f t="shared" si="4"/>
        <v>8.0833333333139308</v>
      </c>
      <c r="K139" s="1">
        <v>59.381443299111609</v>
      </c>
      <c r="L139" s="1">
        <v>40</v>
      </c>
      <c r="M139" s="1">
        <v>18</v>
      </c>
      <c r="N139" s="3" t="s">
        <v>3</v>
      </c>
      <c r="O139" s="3" t="s">
        <v>1</v>
      </c>
      <c r="P139" s="8" t="s">
        <v>25</v>
      </c>
      <c r="Q139" s="2">
        <v>45505.857858796298</v>
      </c>
      <c r="R139" s="2">
        <v>45505.972986111112</v>
      </c>
      <c r="S139" s="1"/>
      <c r="T139" s="1" t="s">
        <v>87</v>
      </c>
      <c r="U139" s="1">
        <f>4861+2367</f>
        <v>7228</v>
      </c>
      <c r="V139" s="1">
        <v>5625</v>
      </c>
      <c r="W139" s="1">
        <v>56</v>
      </c>
      <c r="X139" s="1">
        <v>166</v>
      </c>
      <c r="Y139" s="1">
        <v>12</v>
      </c>
    </row>
    <row r="140" spans="1:25" x14ac:dyDescent="0.25">
      <c r="A140" s="3">
        <v>136</v>
      </c>
      <c r="C140" s="7">
        <v>45506</v>
      </c>
      <c r="D140" s="3">
        <v>858</v>
      </c>
      <c r="E140" s="1">
        <v>1720.5</v>
      </c>
      <c r="F140" s="3" t="str">
        <f t="shared" si="3"/>
        <v>Injection</v>
      </c>
      <c r="G140" s="1">
        <v>480</v>
      </c>
      <c r="H140" s="2">
        <v>45506.375</v>
      </c>
      <c r="I140" s="2">
        <v>45506.701388888891</v>
      </c>
      <c r="J140" s="1">
        <f t="shared" si="4"/>
        <v>7.8333333333721384</v>
      </c>
      <c r="K140" s="1">
        <v>61.276595744377296</v>
      </c>
      <c r="L140" s="1">
        <v>40</v>
      </c>
      <c r="M140" s="1">
        <v>0</v>
      </c>
      <c r="N140" s="3" t="s">
        <v>3</v>
      </c>
      <c r="O140" s="3" t="s">
        <v>1</v>
      </c>
      <c r="P140" s="8" t="s">
        <v>26</v>
      </c>
      <c r="Q140" s="2">
        <v>45506.711967592593</v>
      </c>
      <c r="R140" s="2">
        <v>45506.822175925925</v>
      </c>
      <c r="S140" s="1"/>
      <c r="T140" s="1" t="s">
        <v>87</v>
      </c>
      <c r="U140" s="1">
        <v>5188</v>
      </c>
      <c r="V140" s="1">
        <v>3900</v>
      </c>
      <c r="W140" s="1">
        <v>41</v>
      </c>
      <c r="X140" s="1">
        <v>121</v>
      </c>
      <c r="Y140" s="1">
        <v>12</v>
      </c>
    </row>
    <row r="141" spans="1:25" x14ac:dyDescent="0.25">
      <c r="A141" s="3">
        <v>137</v>
      </c>
      <c r="C141" s="7">
        <v>45507</v>
      </c>
      <c r="D141" s="3">
        <v>871</v>
      </c>
      <c r="E141" s="1">
        <v>1741</v>
      </c>
      <c r="F141" s="3" t="str">
        <f t="shared" si="3"/>
        <v>Injection</v>
      </c>
      <c r="G141" s="1">
        <v>480</v>
      </c>
      <c r="H141" s="2">
        <v>45507.385416666664</v>
      </c>
      <c r="I141" s="2">
        <v>45507.670138888891</v>
      </c>
      <c r="J141" s="1">
        <f t="shared" si="4"/>
        <v>6.8333333334303461</v>
      </c>
      <c r="K141" s="1">
        <v>70.243902438027135</v>
      </c>
      <c r="L141" s="1">
        <v>40</v>
      </c>
      <c r="M141" s="1">
        <v>0.5</v>
      </c>
      <c r="N141" s="3" t="s">
        <v>5</v>
      </c>
      <c r="O141" s="3" t="s">
        <v>1</v>
      </c>
      <c r="P141" s="8"/>
      <c r="Q141" s="2">
        <v>45507.692187499997</v>
      </c>
      <c r="R141" s="2">
        <v>45507.816018518519</v>
      </c>
      <c r="S141" s="1"/>
      <c r="T141" s="1" t="s">
        <v>87</v>
      </c>
      <c r="U141" s="1">
        <v>6690</v>
      </c>
      <c r="V141" s="1">
        <v>4893</v>
      </c>
      <c r="W141" s="1">
        <v>50</v>
      </c>
      <c r="X141" s="1">
        <v>148</v>
      </c>
      <c r="Y141" s="1">
        <v>12</v>
      </c>
    </row>
    <row r="142" spans="1:25" x14ac:dyDescent="0.25">
      <c r="A142" s="3">
        <v>138</v>
      </c>
      <c r="C142" s="7">
        <v>45509</v>
      </c>
      <c r="D142" s="3">
        <v>883</v>
      </c>
      <c r="E142" s="1">
        <v>1763</v>
      </c>
      <c r="F142" s="3" t="str">
        <f t="shared" si="3"/>
        <v>Injection</v>
      </c>
      <c r="G142" s="1">
        <v>451.8</v>
      </c>
      <c r="H142" s="2">
        <v>45509.579861111109</v>
      </c>
      <c r="I142" s="2">
        <v>45509.92291666667</v>
      </c>
      <c r="J142" s="1">
        <f t="shared" si="4"/>
        <v>8.2333333334536292</v>
      </c>
      <c r="K142" s="1">
        <v>54.874493926323744</v>
      </c>
      <c r="L142" s="1">
        <v>40</v>
      </c>
      <c r="M142" s="1">
        <v>85.5</v>
      </c>
      <c r="N142" s="3" t="s">
        <v>5</v>
      </c>
      <c r="O142" s="3" t="s">
        <v>1</v>
      </c>
      <c r="P142" s="8"/>
      <c r="Q142" s="2">
        <v>45509.939479166664</v>
      </c>
      <c r="R142" s="2">
        <v>45510.264282407406</v>
      </c>
      <c r="S142" s="1"/>
      <c r="T142" s="1" t="s">
        <v>87</v>
      </c>
      <c r="U142" s="1">
        <v>11705</v>
      </c>
      <c r="V142" s="1">
        <v>9616.1</v>
      </c>
      <c r="W142" s="1">
        <v>100.80000000000003</v>
      </c>
      <c r="X142" s="1">
        <v>281.2</v>
      </c>
      <c r="Y142" s="1">
        <v>14</v>
      </c>
    </row>
    <row r="143" spans="1:25" x14ac:dyDescent="0.25">
      <c r="A143" s="3">
        <v>139</v>
      </c>
      <c r="C143" s="7">
        <v>45510</v>
      </c>
      <c r="D143" s="3">
        <v>885</v>
      </c>
      <c r="E143" s="1">
        <v>1767</v>
      </c>
      <c r="F143" s="3" t="str">
        <f t="shared" si="3"/>
        <v>Injection</v>
      </c>
      <c r="G143" s="1">
        <f>164.93+198</f>
        <v>362.93</v>
      </c>
      <c r="H143" s="2">
        <v>45510.340277777781</v>
      </c>
      <c r="I143" s="2">
        <v>45510.628472222219</v>
      </c>
      <c r="J143" s="1">
        <f t="shared" si="4"/>
        <v>6.9166666665114462</v>
      </c>
      <c r="K143" s="1">
        <v>52.471807230093212</v>
      </c>
      <c r="L143" s="1">
        <v>32.6</v>
      </c>
      <c r="M143" s="1">
        <v>16.5</v>
      </c>
      <c r="N143" s="3" t="s">
        <v>3</v>
      </c>
      <c r="O143" s="3" t="s">
        <v>1</v>
      </c>
      <c r="P143" s="8" t="s">
        <v>24</v>
      </c>
      <c r="Q143" s="2">
        <v>45510.638437499998</v>
      </c>
      <c r="R143" s="2">
        <v>45510.680625000001</v>
      </c>
      <c r="S143" s="1"/>
      <c r="T143" s="1" t="s">
        <v>87</v>
      </c>
      <c r="U143" s="1">
        <v>2218</v>
      </c>
      <c r="V143" s="1">
        <v>1640</v>
      </c>
      <c r="W143" s="1">
        <v>17</v>
      </c>
      <c r="X143" s="1">
        <v>49</v>
      </c>
      <c r="Y143" s="1">
        <v>11</v>
      </c>
    </row>
    <row r="144" spans="1:25" x14ac:dyDescent="0.25">
      <c r="A144" s="3">
        <v>140</v>
      </c>
      <c r="C144" s="7">
        <v>45511</v>
      </c>
      <c r="D144" s="3">
        <v>895</v>
      </c>
      <c r="E144" s="1">
        <v>1785</v>
      </c>
      <c r="F144" s="3" t="str">
        <f t="shared" si="3"/>
        <v>Injection</v>
      </c>
      <c r="G144" s="1">
        <v>480</v>
      </c>
      <c r="H144" s="2">
        <v>45511.204861111109</v>
      </c>
      <c r="I144" s="2">
        <v>45511.493055555555</v>
      </c>
      <c r="J144" s="1">
        <f t="shared" si="4"/>
        <v>6.9166666666860692</v>
      </c>
      <c r="K144" s="1">
        <v>69.397590361251105</v>
      </c>
      <c r="L144" s="1">
        <v>40</v>
      </c>
      <c r="M144" s="1">
        <v>38</v>
      </c>
      <c r="N144" s="3" t="s">
        <v>5</v>
      </c>
      <c r="O144" s="3" t="s">
        <v>1</v>
      </c>
      <c r="P144" s="8"/>
      <c r="Q144" s="2">
        <v>45511.51085648148</v>
      </c>
      <c r="R144" s="2">
        <v>45511.622245370374</v>
      </c>
      <c r="S144" s="1"/>
      <c r="T144" s="1" t="s">
        <v>87</v>
      </c>
      <c r="U144" s="1">
        <v>8714</v>
      </c>
      <c r="V144" s="1">
        <v>6361</v>
      </c>
      <c r="W144" s="1">
        <v>66</v>
      </c>
      <c r="X144" s="1">
        <v>193</v>
      </c>
      <c r="Y144" s="1">
        <v>12</v>
      </c>
    </row>
    <row r="145" spans="1:25" x14ac:dyDescent="0.25">
      <c r="A145" s="3">
        <v>141</v>
      </c>
      <c r="C145" s="7">
        <v>45512</v>
      </c>
      <c r="D145" s="3">
        <v>909</v>
      </c>
      <c r="E145" s="1">
        <v>1810</v>
      </c>
      <c r="F145" s="3" t="str">
        <f t="shared" si="3"/>
        <v>Injection</v>
      </c>
      <c r="G145" s="1">
        <v>619</v>
      </c>
      <c r="H145" s="2">
        <v>45512.225694444445</v>
      </c>
      <c r="I145" s="2">
        <v>45512.637905092597</v>
      </c>
      <c r="J145" s="1">
        <f t="shared" si="4"/>
        <v>9.8930555556435138</v>
      </c>
      <c r="K145" s="1">
        <v>62.569142214802397</v>
      </c>
      <c r="L145" s="1">
        <v>40</v>
      </c>
      <c r="M145" s="1">
        <v>444</v>
      </c>
      <c r="N145" s="3" t="s">
        <v>3</v>
      </c>
      <c r="O145" s="3" t="s">
        <v>1</v>
      </c>
      <c r="P145" s="8" t="s">
        <v>27</v>
      </c>
      <c r="Q145" s="2">
        <v>45512.684224537035</v>
      </c>
      <c r="R145" s="2">
        <v>45512.952824074076</v>
      </c>
      <c r="S145" s="1"/>
      <c r="T145" s="1" t="s">
        <v>87</v>
      </c>
      <c r="U145" s="1">
        <v>16400</v>
      </c>
      <c r="V145" s="1">
        <v>12507</v>
      </c>
      <c r="W145" s="1">
        <v>129</v>
      </c>
      <c r="X145" s="1">
        <v>346</v>
      </c>
      <c r="Y145" s="1">
        <v>16</v>
      </c>
    </row>
    <row r="146" spans="1:25" x14ac:dyDescent="0.25">
      <c r="A146" s="3">
        <v>142</v>
      </c>
      <c r="C146" s="7">
        <v>45513</v>
      </c>
      <c r="D146" s="3">
        <v>911</v>
      </c>
      <c r="E146" s="1">
        <v>1814</v>
      </c>
      <c r="F146" s="3" t="str">
        <f t="shared" si="3"/>
        <v>Injection</v>
      </c>
      <c r="G146" s="1">
        <v>165</v>
      </c>
      <c r="H146" s="2">
        <v>45513.119444444441</v>
      </c>
      <c r="I146" s="12">
        <v>45513.316666666666</v>
      </c>
      <c r="J146" s="1">
        <f t="shared" si="4"/>
        <v>4.7333333333954215</v>
      </c>
      <c r="K146" s="1">
        <v>34.859154929120209</v>
      </c>
      <c r="L146" s="1">
        <v>32.6</v>
      </c>
      <c r="M146" s="1">
        <v>0</v>
      </c>
      <c r="N146" s="3" t="s">
        <v>3</v>
      </c>
      <c r="O146" s="3" t="s">
        <v>1</v>
      </c>
      <c r="P146" s="8" t="s">
        <v>28</v>
      </c>
      <c r="Q146" s="2">
        <v>45513.316446759258</v>
      </c>
      <c r="R146" s="12">
        <v>45513.346331018518</v>
      </c>
      <c r="S146" s="1"/>
      <c r="T146" s="1" t="s">
        <v>87</v>
      </c>
      <c r="U146" s="1">
        <v>1049</v>
      </c>
      <c r="V146" s="1">
        <v>741</v>
      </c>
      <c r="W146" s="1">
        <v>7</v>
      </c>
      <c r="X146" s="1">
        <v>22</v>
      </c>
      <c r="Y146" s="1">
        <v>5</v>
      </c>
    </row>
    <row r="147" spans="1:25" x14ac:dyDescent="0.25">
      <c r="A147" s="3">
        <v>143.1</v>
      </c>
      <c r="B147" s="3">
        <v>1</v>
      </c>
      <c r="C147" s="7">
        <v>45514</v>
      </c>
      <c r="D147" s="3">
        <v>923</v>
      </c>
      <c r="E147" s="1">
        <v>1835</v>
      </c>
      <c r="F147" s="3" t="str">
        <f t="shared" si="3"/>
        <v>Injection</v>
      </c>
      <c r="G147" s="1">
        <f>12*40+32.89</f>
        <v>512.89</v>
      </c>
      <c r="H147" s="2">
        <v>45514.260416666664</v>
      </c>
      <c r="I147" s="2">
        <v>45514.708333333336</v>
      </c>
      <c r="J147" s="1">
        <f t="shared" si="4"/>
        <v>10.750000000116415</v>
      </c>
      <c r="K147" s="1">
        <v>47.710697673901926</v>
      </c>
      <c r="L147" s="1">
        <v>40</v>
      </c>
      <c r="M147" s="1">
        <v>460</v>
      </c>
      <c r="N147" s="3" t="s">
        <v>3</v>
      </c>
      <c r="O147" s="3" t="s">
        <v>1</v>
      </c>
      <c r="P147" s="8" t="s">
        <v>8</v>
      </c>
      <c r="Q147" s="2">
        <v>45514.720752314817</v>
      </c>
      <c r="R147" s="2">
        <v>45515.03534722222</v>
      </c>
      <c r="S147" s="1"/>
      <c r="T147" s="1" t="s">
        <v>87</v>
      </c>
      <c r="U147" s="1">
        <v>19400</v>
      </c>
      <c r="V147" s="1">
        <v>15286.4</v>
      </c>
      <c r="W147" s="1">
        <v>156</v>
      </c>
      <c r="X147" s="1">
        <v>285</v>
      </c>
      <c r="Y147" s="1">
        <v>13</v>
      </c>
    </row>
    <row r="148" spans="1:25" x14ac:dyDescent="0.25">
      <c r="A148" s="3">
        <v>143.19999999999999</v>
      </c>
      <c r="B148" s="3">
        <v>2</v>
      </c>
      <c r="C148" s="7">
        <v>45516</v>
      </c>
      <c r="D148" s="3">
        <v>923</v>
      </c>
      <c r="E148" s="1">
        <v>1835</v>
      </c>
      <c r="F148" s="3" t="str">
        <f t="shared" si="3"/>
        <v>Injection</v>
      </c>
      <c r="G148" s="1">
        <f>876.89-G147</f>
        <v>364</v>
      </c>
      <c r="H148" s="2">
        <v>45516.418055555558</v>
      </c>
      <c r="I148" s="2">
        <v>45516.646527777775</v>
      </c>
      <c r="J148" s="1">
        <f t="shared" si="4"/>
        <v>5.4833333332207985</v>
      </c>
      <c r="K148" s="1">
        <v>66.382978724766645</v>
      </c>
      <c r="L148" s="1">
        <v>40</v>
      </c>
      <c r="M148" s="1">
        <v>460</v>
      </c>
      <c r="N148" s="3" t="s">
        <v>3</v>
      </c>
      <c r="O148" s="3" t="s">
        <v>1</v>
      </c>
      <c r="P148" s="8" t="s">
        <v>8</v>
      </c>
      <c r="Q148" s="2">
        <v>45516.649305555555</v>
      </c>
      <c r="R148" s="2">
        <v>45516.788194444445</v>
      </c>
      <c r="S148" s="1"/>
      <c r="T148" s="1" t="s">
        <v>87</v>
      </c>
      <c r="U148" s="1">
        <v>8304</v>
      </c>
      <c r="V148" s="1">
        <v>6825</v>
      </c>
      <c r="W148" s="1">
        <v>68</v>
      </c>
      <c r="X148" s="1">
        <v>202</v>
      </c>
      <c r="Y148" s="1">
        <f>20-Y147</f>
        <v>7</v>
      </c>
    </row>
    <row r="149" spans="1:25" x14ac:dyDescent="0.25">
      <c r="A149" s="3">
        <v>144</v>
      </c>
      <c r="C149" s="7">
        <v>45517</v>
      </c>
      <c r="D149" s="3">
        <v>927</v>
      </c>
      <c r="E149" s="1">
        <v>1843</v>
      </c>
      <c r="F149" s="3" t="str">
        <f t="shared" si="3"/>
        <v>Injection</v>
      </c>
      <c r="G149" s="1">
        <v>205</v>
      </c>
      <c r="H149" s="2">
        <v>45517.034722222219</v>
      </c>
      <c r="I149" s="2">
        <v>45517.275694444441</v>
      </c>
      <c r="J149" s="1">
        <f t="shared" si="4"/>
        <v>5.7833333333255723</v>
      </c>
      <c r="K149" s="1">
        <v>35.446685879010104</v>
      </c>
      <c r="L149" s="1">
        <v>29</v>
      </c>
      <c r="M149" s="1">
        <v>17</v>
      </c>
      <c r="N149" s="3" t="s">
        <v>5</v>
      </c>
      <c r="O149" s="3" t="s">
        <v>1</v>
      </c>
      <c r="P149" s="8"/>
      <c r="Q149" s="2">
        <v>45517.321469907409</v>
      </c>
      <c r="R149" s="2">
        <v>45517.482106481482</v>
      </c>
      <c r="S149" s="1"/>
      <c r="T149" s="1" t="s">
        <v>87</v>
      </c>
      <c r="U149" s="1">
        <v>7432</v>
      </c>
      <c r="V149" s="1">
        <v>5836</v>
      </c>
      <c r="W149" s="1">
        <v>59</v>
      </c>
      <c r="X149" s="1">
        <v>170</v>
      </c>
      <c r="Y149" s="1">
        <v>7</v>
      </c>
    </row>
    <row r="150" spans="1:25" x14ac:dyDescent="0.25">
      <c r="A150" s="3">
        <v>145.1</v>
      </c>
      <c r="B150" s="3">
        <v>1</v>
      </c>
      <c r="C150" s="7">
        <v>45518</v>
      </c>
      <c r="D150" s="3">
        <v>935</v>
      </c>
      <c r="E150" s="1">
        <v>1857.71</v>
      </c>
      <c r="F150" s="3" t="str">
        <f t="shared" si="3"/>
        <v>Injection</v>
      </c>
      <c r="G150" s="1">
        <v>347</v>
      </c>
      <c r="H150" s="2">
        <v>45517.909722222219</v>
      </c>
      <c r="I150" s="2">
        <v>45518.166666666664</v>
      </c>
      <c r="J150" s="1">
        <f t="shared" si="4"/>
        <v>6.1666666666860692</v>
      </c>
      <c r="K150" s="1">
        <v>56.270270270093221</v>
      </c>
      <c r="L150" s="1">
        <v>40</v>
      </c>
      <c r="M150" s="1">
        <v>232</v>
      </c>
      <c r="N150" s="3" t="s">
        <v>3</v>
      </c>
      <c r="O150" s="3" t="s">
        <v>1</v>
      </c>
      <c r="P150" s="8" t="s">
        <v>29</v>
      </c>
      <c r="Q150" s="2">
        <v>45518.168495370373</v>
      </c>
      <c r="R150" s="2">
        <v>45518.503564814811</v>
      </c>
      <c r="S150" s="1"/>
      <c r="T150" s="1" t="s">
        <v>87</v>
      </c>
      <c r="U150" s="1">
        <v>16217</v>
      </c>
      <c r="V150" s="1">
        <v>12939</v>
      </c>
      <c r="W150" s="1">
        <v>140</v>
      </c>
      <c r="X150" s="1">
        <v>311</v>
      </c>
      <c r="Y150" s="1">
        <v>11</v>
      </c>
    </row>
    <row r="151" spans="1:25" x14ac:dyDescent="0.25">
      <c r="A151" s="3">
        <v>145.19999999999999</v>
      </c>
      <c r="B151" s="3">
        <v>2</v>
      </c>
      <c r="C151" s="7">
        <v>45518</v>
      </c>
      <c r="D151" s="3">
        <v>935</v>
      </c>
      <c r="E151" s="1">
        <v>1857.71</v>
      </c>
      <c r="F151" s="3" t="str">
        <f t="shared" si="3"/>
        <v>Injection</v>
      </c>
      <c r="G151" s="1">
        <f>761.4-G150</f>
        <v>414.4</v>
      </c>
      <c r="H151" s="2">
        <v>45518.530555555553</v>
      </c>
      <c r="I151" s="2">
        <v>45518.791666666664</v>
      </c>
      <c r="J151" s="1">
        <f t="shared" si="4"/>
        <v>6.2666666666627862</v>
      </c>
      <c r="K151" s="1">
        <v>66.127659574509025</v>
      </c>
      <c r="L151" s="1">
        <v>40</v>
      </c>
      <c r="M151" s="1">
        <v>321.5</v>
      </c>
      <c r="N151" s="3" t="s">
        <v>3</v>
      </c>
      <c r="O151" s="3" t="s">
        <v>1</v>
      </c>
      <c r="P151" s="8" t="s">
        <v>29</v>
      </c>
      <c r="Q151" s="2">
        <v>45518.762430555558</v>
      </c>
      <c r="R151" s="2">
        <v>45518.964270833334</v>
      </c>
      <c r="S151" s="1"/>
      <c r="T151" s="1" t="s">
        <v>87</v>
      </c>
      <c r="U151" s="1">
        <v>18868</v>
      </c>
      <c r="V151" s="1">
        <v>14313</v>
      </c>
      <c r="W151" s="1">
        <v>149</v>
      </c>
      <c r="X151" s="1">
        <v>371</v>
      </c>
      <c r="Y151" s="1">
        <f>21-Y150</f>
        <v>10</v>
      </c>
    </row>
    <row r="152" spans="1:25" x14ac:dyDescent="0.25">
      <c r="A152" s="3">
        <v>146</v>
      </c>
      <c r="C152" s="7">
        <v>45519</v>
      </c>
      <c r="D152" s="3">
        <v>939</v>
      </c>
      <c r="E152" s="1">
        <v>1864.57</v>
      </c>
      <c r="F152" s="3" t="str">
        <f t="shared" si="3"/>
        <v>Injection</v>
      </c>
      <c r="G152" s="1">
        <v>160</v>
      </c>
      <c r="H152" s="2">
        <v>45519.14166666667</v>
      </c>
      <c r="I152" s="2">
        <v>45519.388888888891</v>
      </c>
      <c r="J152" s="1">
        <f t="shared" si="4"/>
        <v>5.9333333332906477</v>
      </c>
      <c r="K152" s="1">
        <v>26.966292135025462</v>
      </c>
      <c r="L152" s="1">
        <v>29</v>
      </c>
      <c r="M152" s="1">
        <v>42</v>
      </c>
      <c r="N152" s="3" t="s">
        <v>3</v>
      </c>
      <c r="O152" s="3" t="s">
        <v>1</v>
      </c>
      <c r="P152" s="8" t="s">
        <v>29</v>
      </c>
      <c r="Q152" s="2">
        <v>45519.389363425929</v>
      </c>
      <c r="R152" s="2">
        <v>45519.535057870373</v>
      </c>
      <c r="S152" s="1"/>
      <c r="T152" s="1" t="s">
        <v>87</v>
      </c>
      <c r="U152" s="1">
        <v>6667</v>
      </c>
      <c r="V152" s="1">
        <v>5432</v>
      </c>
      <c r="W152" s="1">
        <v>55</v>
      </c>
      <c r="X152" s="1">
        <v>195</v>
      </c>
      <c r="Y152" s="1">
        <v>7</v>
      </c>
    </row>
    <row r="153" spans="1:25" x14ac:dyDescent="0.25">
      <c r="A153" s="3">
        <v>147</v>
      </c>
      <c r="C153" s="7">
        <v>45520</v>
      </c>
      <c r="D153" s="3">
        <v>945</v>
      </c>
      <c r="E153" s="1">
        <v>1875.69</v>
      </c>
      <c r="F153" s="3" t="str">
        <f t="shared" si="3"/>
        <v>Injection</v>
      </c>
      <c r="G153" s="1">
        <v>340.5</v>
      </c>
      <c r="H153" s="2">
        <v>45519.96875</v>
      </c>
      <c r="I153" s="2">
        <v>45520.305555555555</v>
      </c>
      <c r="J153" s="1">
        <f t="shared" si="4"/>
        <v>8.0833333333139308</v>
      </c>
      <c r="K153" s="1">
        <v>42.123711340307295</v>
      </c>
      <c r="L153" s="1">
        <v>40</v>
      </c>
      <c r="M153" s="1">
        <v>33.1</v>
      </c>
      <c r="N153" s="3" t="s">
        <v>3</v>
      </c>
      <c r="O153" s="3" t="s">
        <v>1</v>
      </c>
      <c r="P153" s="8" t="s">
        <v>29</v>
      </c>
      <c r="Q153" s="2">
        <v>45520.301527777781</v>
      </c>
      <c r="R153" s="2">
        <v>45520.389803240738</v>
      </c>
      <c r="S153" s="1"/>
      <c r="T153" s="1" t="s">
        <v>87</v>
      </c>
      <c r="U153" s="1">
        <v>4451</v>
      </c>
      <c r="V153" s="1">
        <v>3583</v>
      </c>
      <c r="W153" s="1">
        <v>36</v>
      </c>
      <c r="X153" s="1">
        <v>107</v>
      </c>
      <c r="Y153" s="1">
        <v>9</v>
      </c>
    </row>
    <row r="154" spans="1:25" x14ac:dyDescent="0.25">
      <c r="A154" s="3">
        <v>148</v>
      </c>
      <c r="C154" s="7">
        <v>45520</v>
      </c>
      <c r="D154" s="3">
        <v>947</v>
      </c>
      <c r="E154" s="1">
        <v>1879.54</v>
      </c>
      <c r="F154" s="3" t="str">
        <f t="shared" si="3"/>
        <v>Injection</v>
      </c>
      <c r="G154" s="1">
        <v>197.1</v>
      </c>
      <c r="H154" s="2">
        <v>45520.588888888888</v>
      </c>
      <c r="I154" s="2">
        <v>45520.731944444444</v>
      </c>
      <c r="J154" s="1">
        <f t="shared" si="4"/>
        <v>3.4333333333488554</v>
      </c>
      <c r="K154" s="1">
        <v>57.407766990031718</v>
      </c>
      <c r="L154" s="1">
        <v>32.6</v>
      </c>
      <c r="M154" s="1">
        <v>124.5</v>
      </c>
      <c r="N154" s="3" t="s">
        <v>3</v>
      </c>
      <c r="O154" s="3" t="s">
        <v>1</v>
      </c>
      <c r="P154" s="8" t="s">
        <v>29</v>
      </c>
      <c r="Q154" s="2">
        <v>45520.739641203705</v>
      </c>
      <c r="R154" s="2">
        <v>45520.911874999998</v>
      </c>
      <c r="S154" s="1"/>
      <c r="T154" s="1" t="s">
        <v>87</v>
      </c>
      <c r="U154" s="1">
        <v>6544</v>
      </c>
      <c r="V154" s="1">
        <v>5418</v>
      </c>
      <c r="W154" s="1">
        <v>64</v>
      </c>
      <c r="X154" s="1">
        <v>220</v>
      </c>
      <c r="Y154" s="1">
        <v>6</v>
      </c>
    </row>
    <row r="155" spans="1:25" x14ac:dyDescent="0.25">
      <c r="A155" s="3">
        <v>149</v>
      </c>
      <c r="C155" s="7">
        <v>45521</v>
      </c>
      <c r="D155" s="3">
        <v>958</v>
      </c>
      <c r="E155" s="1">
        <v>1900</v>
      </c>
      <c r="F155" s="3" t="str">
        <f t="shared" si="3"/>
        <v>Injection</v>
      </c>
      <c r="G155" s="1">
        <v>480</v>
      </c>
      <c r="H155" s="2">
        <v>45521.466666666667</v>
      </c>
      <c r="I155" s="2">
        <v>45522.083333333336</v>
      </c>
      <c r="J155" s="1">
        <f t="shared" si="4"/>
        <v>14.800000000046566</v>
      </c>
      <c r="K155" s="1">
        <v>32.432432432330387</v>
      </c>
      <c r="L155" s="1">
        <v>40</v>
      </c>
      <c r="M155" s="1">
        <v>20.5</v>
      </c>
      <c r="N155" s="3" t="s">
        <v>3</v>
      </c>
      <c r="O155" s="3" t="s">
        <v>1</v>
      </c>
      <c r="P155" s="8" t="s">
        <v>29</v>
      </c>
      <c r="Q155" s="2">
        <v>45523.321296296293</v>
      </c>
      <c r="R155" s="2">
        <v>45523.425335648149</v>
      </c>
      <c r="S155" s="1"/>
      <c r="T155" s="1" t="s">
        <v>87</v>
      </c>
      <c r="U155" s="1">
        <v>4441</v>
      </c>
      <c r="V155" s="1">
        <v>3412</v>
      </c>
      <c r="W155" s="1">
        <v>34</v>
      </c>
      <c r="X155" s="1">
        <v>101</v>
      </c>
      <c r="Y155" s="1">
        <v>12</v>
      </c>
    </row>
    <row r="156" spans="1:25" x14ac:dyDescent="0.25">
      <c r="A156" s="3">
        <v>150</v>
      </c>
      <c r="C156" s="7">
        <v>45524</v>
      </c>
      <c r="D156" s="3">
        <v>970</v>
      </c>
      <c r="E156" s="1">
        <v>1921.5</v>
      </c>
      <c r="F156" s="3" t="str">
        <f t="shared" si="3"/>
        <v>Injection</v>
      </c>
      <c r="G156" s="1">
        <v>440</v>
      </c>
      <c r="H156" s="2">
        <v>45524.489583333336</v>
      </c>
      <c r="I156" s="2">
        <v>45524.864583333336</v>
      </c>
      <c r="J156" s="1">
        <f t="shared" si="4"/>
        <v>9</v>
      </c>
      <c r="K156" s="1">
        <v>48.888888888888886</v>
      </c>
      <c r="L156" s="1">
        <v>40</v>
      </c>
      <c r="M156" s="1">
        <v>4</v>
      </c>
      <c r="N156" s="3" t="s">
        <v>3</v>
      </c>
      <c r="O156" s="3" t="s">
        <v>1</v>
      </c>
      <c r="P156" s="8" t="s">
        <v>29</v>
      </c>
      <c r="Q156" s="2">
        <v>45524.851944444446</v>
      </c>
      <c r="R156" s="2">
        <v>45524.956493055557</v>
      </c>
      <c r="S156" s="1"/>
      <c r="T156" s="1" t="s">
        <v>87</v>
      </c>
      <c r="U156" s="1">
        <v>6371</v>
      </c>
      <c r="V156" s="1">
        <v>4921.7</v>
      </c>
      <c r="W156" s="1">
        <v>51.399999999999977</v>
      </c>
      <c r="X156" s="1">
        <v>130.19999999999999</v>
      </c>
      <c r="Y156" s="1">
        <v>11</v>
      </c>
    </row>
    <row r="157" spans="1:25" x14ac:dyDescent="0.25">
      <c r="A157" s="3">
        <v>151</v>
      </c>
      <c r="C157" s="7">
        <v>45525</v>
      </c>
      <c r="D157" s="3">
        <v>984</v>
      </c>
      <c r="E157" s="1">
        <v>1946.8</v>
      </c>
      <c r="F157" s="3" t="str">
        <f t="shared" si="3"/>
        <v>Injection</v>
      </c>
      <c r="G157" s="1">
        <v>360</v>
      </c>
      <c r="H157" s="2">
        <v>45525.625</v>
      </c>
      <c r="I157" s="2">
        <v>45525.787499999999</v>
      </c>
      <c r="J157" s="1">
        <f t="shared" si="4"/>
        <v>3.8999999999650754</v>
      </c>
      <c r="K157" s="1">
        <v>92.307692308518924</v>
      </c>
      <c r="L157" s="1">
        <v>40</v>
      </c>
      <c r="M157" s="1">
        <v>0</v>
      </c>
      <c r="N157" s="3" t="s">
        <v>3</v>
      </c>
      <c r="O157" s="3" t="s">
        <v>1</v>
      </c>
      <c r="P157" s="8" t="s">
        <v>29</v>
      </c>
      <c r="Q157" s="2">
        <v>45525.736527777779</v>
      </c>
      <c r="R157" s="2">
        <v>45525.837870370371</v>
      </c>
      <c r="S157" s="1"/>
      <c r="T157" s="1" t="s">
        <v>87</v>
      </c>
      <c r="U157" s="1">
        <v>3318</v>
      </c>
      <c r="V157" s="1">
        <v>2582.4999999999995</v>
      </c>
      <c r="W157" s="1">
        <v>25.8</v>
      </c>
      <c r="X157" s="1">
        <v>76.200000000000017</v>
      </c>
      <c r="Y157" s="1">
        <v>6</v>
      </c>
    </row>
    <row r="158" spans="1:25" x14ac:dyDescent="0.25">
      <c r="A158" s="3">
        <v>152</v>
      </c>
      <c r="C158" s="7">
        <v>45526</v>
      </c>
      <c r="D158" s="3">
        <v>998</v>
      </c>
      <c r="E158" s="1">
        <v>1972</v>
      </c>
      <c r="F158" s="3" t="str">
        <f t="shared" si="3"/>
        <v>Injection</v>
      </c>
      <c r="G158" s="1">
        <v>320</v>
      </c>
      <c r="H158" s="2">
        <v>45526.402777777781</v>
      </c>
      <c r="I158" s="2">
        <v>45526.722222222219</v>
      </c>
      <c r="J158" s="1">
        <f t="shared" si="4"/>
        <v>7.6666666665114462</v>
      </c>
      <c r="K158" s="1">
        <v>41.739130435627665</v>
      </c>
      <c r="L158" s="1">
        <v>40</v>
      </c>
      <c r="M158" s="1">
        <v>0</v>
      </c>
      <c r="N158" s="3" t="s">
        <v>3</v>
      </c>
      <c r="O158" s="3" t="s">
        <v>1</v>
      </c>
      <c r="P158" s="8" t="s">
        <v>29</v>
      </c>
      <c r="Q158" s="2">
        <v>45526.702245370368</v>
      </c>
      <c r="R158" s="2">
        <v>45526.774583333332</v>
      </c>
      <c r="S158" s="1"/>
      <c r="T158" s="1" t="s">
        <v>87</v>
      </c>
      <c r="U158" s="1">
        <v>1925</v>
      </c>
      <c r="V158" s="1">
        <v>1802.7000000000003</v>
      </c>
      <c r="W158" s="1">
        <v>18.299999999999997</v>
      </c>
      <c r="X158" s="1">
        <v>54</v>
      </c>
      <c r="Y158" s="1">
        <v>8</v>
      </c>
    </row>
    <row r="159" spans="1:25" x14ac:dyDescent="0.25">
      <c r="A159" s="3">
        <v>153</v>
      </c>
      <c r="C159" s="7">
        <v>45527</v>
      </c>
      <c r="D159" s="3">
        <v>1013</v>
      </c>
      <c r="E159" s="1">
        <v>1997.2</v>
      </c>
      <c r="F159" s="3" t="str">
        <f t="shared" si="3"/>
        <v>Injection</v>
      </c>
      <c r="G159" s="1">
        <v>240</v>
      </c>
      <c r="H159" s="2">
        <v>45527.225694444445</v>
      </c>
      <c r="I159" s="2">
        <v>45527.375</v>
      </c>
      <c r="J159" s="1">
        <f t="shared" si="4"/>
        <v>3.5833333333139308</v>
      </c>
      <c r="K159" s="1">
        <v>66.976744186409164</v>
      </c>
      <c r="L159" s="1">
        <v>40</v>
      </c>
      <c r="M159" s="1">
        <v>0</v>
      </c>
      <c r="N159" s="3" t="s">
        <v>3</v>
      </c>
      <c r="O159" s="3" t="s">
        <v>1</v>
      </c>
      <c r="P159" s="8" t="s">
        <v>29</v>
      </c>
      <c r="Q159" s="2">
        <v>45527.341249999998</v>
      </c>
      <c r="R159" s="2">
        <v>45527.38753472222</v>
      </c>
      <c r="S159" s="1"/>
      <c r="T159" s="1" t="s">
        <v>87</v>
      </c>
      <c r="U159" s="1">
        <v>828</v>
      </c>
      <c r="V159" s="1">
        <v>912.3</v>
      </c>
      <c r="W159" s="1">
        <v>9.1</v>
      </c>
      <c r="X159" s="1">
        <v>26.599999999999994</v>
      </c>
      <c r="Y159" s="1">
        <v>6</v>
      </c>
    </row>
    <row r="160" spans="1:25" x14ac:dyDescent="0.25">
      <c r="A160" s="3">
        <v>154</v>
      </c>
      <c r="C160" s="7">
        <v>45527</v>
      </c>
      <c r="D160" s="3">
        <v>1022</v>
      </c>
      <c r="E160" s="1">
        <v>2014.29</v>
      </c>
      <c r="F160" s="3" t="str">
        <f t="shared" si="3"/>
        <v>Injection</v>
      </c>
      <c r="G160" s="1">
        <v>240</v>
      </c>
      <c r="H160" s="2">
        <v>45527.90625</v>
      </c>
      <c r="I160" s="2">
        <v>45528</v>
      </c>
      <c r="J160" s="1">
        <f t="shared" si="4"/>
        <v>2.25</v>
      </c>
      <c r="K160" s="1">
        <v>106.66666666666667</v>
      </c>
      <c r="L160" s="1">
        <v>40</v>
      </c>
      <c r="M160" s="1">
        <v>1</v>
      </c>
      <c r="N160" s="3" t="s">
        <v>3</v>
      </c>
      <c r="O160" s="3" t="s">
        <v>1</v>
      </c>
      <c r="P160" s="8" t="s">
        <v>29</v>
      </c>
      <c r="Q160" s="2">
        <v>45528.082395833335</v>
      </c>
      <c r="R160" s="2">
        <v>45528.101168981484</v>
      </c>
      <c r="S160" s="1"/>
      <c r="T160" s="1" t="s">
        <v>87</v>
      </c>
      <c r="U160" s="1">
        <v>304</v>
      </c>
      <c r="V160" s="1">
        <v>720.89999999999986</v>
      </c>
      <c r="W160" s="1">
        <v>7.2</v>
      </c>
      <c r="X160" s="1">
        <v>21.4</v>
      </c>
      <c r="Y160" s="1">
        <v>6</v>
      </c>
    </row>
    <row r="161" spans="1:25" x14ac:dyDescent="0.25">
      <c r="A161" s="3">
        <v>155</v>
      </c>
      <c r="C161" s="7">
        <v>45530</v>
      </c>
      <c r="D161" s="3">
        <v>1037</v>
      </c>
      <c r="E161" s="1">
        <v>2040.2</v>
      </c>
      <c r="F161" s="3" t="str">
        <f t="shared" si="3"/>
        <v>Injection</v>
      </c>
      <c r="G161" s="1">
        <v>240</v>
      </c>
      <c r="H161" s="2">
        <v>45530.659722222219</v>
      </c>
      <c r="I161" s="2">
        <v>45530.770833333336</v>
      </c>
      <c r="J161" s="1">
        <f t="shared" si="4"/>
        <v>2.6666666668024845</v>
      </c>
      <c r="K161" s="1">
        <v>89.999999995416147</v>
      </c>
      <c r="L161" s="1">
        <v>40</v>
      </c>
      <c r="M161" s="1">
        <v>0</v>
      </c>
      <c r="N161" s="3" t="s">
        <v>3</v>
      </c>
      <c r="O161" s="3" t="s">
        <v>1</v>
      </c>
      <c r="P161" s="8" t="s">
        <v>29</v>
      </c>
      <c r="Q161" s="2">
        <v>45530.78497685185</v>
      </c>
      <c r="R161" s="2">
        <v>45530.801562499997</v>
      </c>
      <c r="S161" s="1"/>
      <c r="T161" s="1" t="s">
        <v>87</v>
      </c>
      <c r="U161" s="1">
        <v>239</v>
      </c>
      <c r="V161" s="1">
        <v>360</v>
      </c>
      <c r="W161" s="1">
        <v>4</v>
      </c>
      <c r="X161" s="1">
        <v>11</v>
      </c>
      <c r="Y161" s="1">
        <v>6</v>
      </c>
    </row>
    <row r="162" spans="1:25" x14ac:dyDescent="0.25">
      <c r="A162" s="3">
        <v>156.1</v>
      </c>
      <c r="B162" s="3">
        <v>1</v>
      </c>
      <c r="C162" s="7">
        <v>45531</v>
      </c>
      <c r="D162" s="3">
        <v>1051</v>
      </c>
      <c r="E162" s="1">
        <v>2065.4</v>
      </c>
      <c r="F162" s="3" t="str">
        <f t="shared" si="3"/>
        <v>Injection</v>
      </c>
      <c r="G162" s="1">
        <v>240</v>
      </c>
      <c r="H162" s="2">
        <v>45531.336805555555</v>
      </c>
      <c r="I162" s="2">
        <v>45531.479166666664</v>
      </c>
      <c r="J162" s="1">
        <f t="shared" si="4"/>
        <v>3.4166666666278616</v>
      </c>
      <c r="K162" s="1">
        <v>70.243902439822193</v>
      </c>
      <c r="L162" s="1">
        <v>32.6</v>
      </c>
      <c r="M162" s="1">
        <v>710</v>
      </c>
      <c r="N162" s="3" t="s">
        <v>3</v>
      </c>
      <c r="O162" s="3" t="s">
        <v>1</v>
      </c>
      <c r="P162" s="8" t="s">
        <v>29</v>
      </c>
      <c r="Q162" s="2">
        <v>45531.48810185185</v>
      </c>
      <c r="R162" s="2">
        <v>45532.031655092593</v>
      </c>
      <c r="S162" s="1"/>
      <c r="T162" s="1" t="s">
        <v>87</v>
      </c>
      <c r="U162" s="1">
        <v>13132</v>
      </c>
      <c r="V162" s="1">
        <v>10874</v>
      </c>
      <c r="W162" s="1">
        <v>115</v>
      </c>
      <c r="X162" s="1">
        <v>340</v>
      </c>
      <c r="Y162" s="1">
        <v>12</v>
      </c>
    </row>
    <row r="163" spans="1:25" x14ac:dyDescent="0.25">
      <c r="A163" s="3">
        <v>156.19999999999999</v>
      </c>
      <c r="B163" s="3">
        <v>2</v>
      </c>
      <c r="C163" s="7">
        <v>45532</v>
      </c>
      <c r="D163" s="3">
        <v>1051</v>
      </c>
      <c r="E163" s="1">
        <v>2065.4</v>
      </c>
      <c r="F163" s="3" t="str">
        <f t="shared" si="3"/>
        <v>Injection</v>
      </c>
      <c r="G163" s="1">
        <v>640</v>
      </c>
      <c r="H163" s="2">
        <v>45532.1875</v>
      </c>
      <c r="I163" s="2">
        <v>45532.489583333336</v>
      </c>
      <c r="J163" s="1">
        <f t="shared" si="4"/>
        <v>7.2500000000582077</v>
      </c>
      <c r="K163" s="1">
        <v>88.275862068256785</v>
      </c>
      <c r="L163" s="1">
        <v>32.6</v>
      </c>
      <c r="M163" s="1">
        <v>354</v>
      </c>
      <c r="N163" s="3" t="s">
        <v>3</v>
      </c>
      <c r="O163" s="3" t="s">
        <v>1</v>
      </c>
      <c r="P163" s="8" t="s">
        <v>29</v>
      </c>
      <c r="Q163" s="2">
        <v>45532.526319444441</v>
      </c>
      <c r="R163" s="2">
        <v>45532.855451388888</v>
      </c>
      <c r="S163" s="1"/>
      <c r="T163" s="1" t="s">
        <v>87</v>
      </c>
      <c r="U163" s="1">
        <v>15528</v>
      </c>
      <c r="V163" s="1">
        <v>11961</v>
      </c>
      <c r="W163" s="1">
        <v>131</v>
      </c>
      <c r="X163" s="1">
        <v>385</v>
      </c>
      <c r="Y163" s="1">
        <v>11</v>
      </c>
    </row>
    <row r="164" spans="1:25" x14ac:dyDescent="0.25">
      <c r="A164" s="3">
        <v>157</v>
      </c>
      <c r="C164" s="7">
        <v>45533</v>
      </c>
      <c r="D164" s="3">
        <v>1053</v>
      </c>
      <c r="E164" s="1">
        <v>2070</v>
      </c>
      <c r="F164" s="3" t="str">
        <f t="shared" si="3"/>
        <v>Injection</v>
      </c>
      <c r="G164" s="1">
        <v>198</v>
      </c>
      <c r="H164" s="2">
        <v>45533.020833333336</v>
      </c>
      <c r="I164" s="2">
        <v>45533.102083333331</v>
      </c>
      <c r="J164" s="1">
        <f t="shared" si="4"/>
        <v>1.9499999998952262</v>
      </c>
      <c r="K164" s="1">
        <v>101.53846154391721</v>
      </c>
      <c r="L164" s="1">
        <v>32.6</v>
      </c>
      <c r="M164" s="1">
        <v>1.5</v>
      </c>
      <c r="N164" s="3" t="s">
        <v>3</v>
      </c>
      <c r="O164" s="3" t="s">
        <v>1</v>
      </c>
      <c r="P164" s="8" t="s">
        <v>29</v>
      </c>
      <c r="Q164" s="2">
        <v>45533.108310185184</v>
      </c>
      <c r="R164" s="2">
        <v>45533.140752314815</v>
      </c>
      <c r="S164" s="1"/>
      <c r="T164" s="1" t="s">
        <v>87</v>
      </c>
      <c r="U164" s="1">
        <v>1330</v>
      </c>
      <c r="V164" s="1">
        <v>941</v>
      </c>
      <c r="W164" s="1">
        <v>9</v>
      </c>
      <c r="X164" s="1">
        <v>28</v>
      </c>
      <c r="Y164" s="1">
        <v>6</v>
      </c>
    </row>
    <row r="165" spans="1:25" x14ac:dyDescent="0.25">
      <c r="A165" s="3">
        <v>158</v>
      </c>
      <c r="C165" s="7">
        <v>45533</v>
      </c>
      <c r="D165" s="3">
        <v>1061</v>
      </c>
      <c r="E165" s="1">
        <v>2084.4</v>
      </c>
      <c r="F165" s="3" t="str">
        <f t="shared" si="3"/>
        <v>Injection</v>
      </c>
      <c r="G165" s="1">
        <v>480</v>
      </c>
      <c r="H165" s="2">
        <v>45533.368055555555</v>
      </c>
      <c r="I165" s="2">
        <v>45533.534722222219</v>
      </c>
      <c r="J165" s="1">
        <f t="shared" si="4"/>
        <v>3.9999999999417923</v>
      </c>
      <c r="K165" s="1">
        <v>120.00000000174623</v>
      </c>
      <c r="L165" s="1">
        <v>40</v>
      </c>
      <c r="M165" s="1">
        <v>70</v>
      </c>
      <c r="N165" s="3" t="s">
        <v>3</v>
      </c>
      <c r="O165" s="3" t="s">
        <v>1</v>
      </c>
      <c r="P165" s="8" t="s">
        <v>29</v>
      </c>
      <c r="Q165" s="2">
        <v>45533.545173611114</v>
      </c>
      <c r="R165" s="2">
        <v>45533.748611111114</v>
      </c>
      <c r="S165" s="1"/>
      <c r="T165" s="1" t="s">
        <v>87</v>
      </c>
      <c r="U165" s="1">
        <v>7578</v>
      </c>
      <c r="V165" s="1">
        <v>5981</v>
      </c>
      <c r="W165" s="1">
        <v>62</v>
      </c>
      <c r="X165" s="1">
        <v>182</v>
      </c>
      <c r="Y165" s="1">
        <v>12</v>
      </c>
    </row>
    <row r="166" spans="1:25" x14ac:dyDescent="0.25">
      <c r="A166" s="3">
        <v>159</v>
      </c>
      <c r="C166" s="7">
        <v>45533</v>
      </c>
      <c r="D166" s="3">
        <v>1063</v>
      </c>
      <c r="E166" s="1">
        <v>2088</v>
      </c>
      <c r="F166" s="3" t="str">
        <f t="shared" si="3"/>
        <v>Injection</v>
      </c>
      <c r="G166" s="1">
        <v>198</v>
      </c>
      <c r="H166" s="2">
        <v>45533.854166666664</v>
      </c>
      <c r="I166" s="2">
        <v>45533.932638888888</v>
      </c>
      <c r="J166" s="1">
        <f t="shared" si="4"/>
        <v>1.8833333333604969</v>
      </c>
      <c r="K166" s="1">
        <v>105.13274336131552</v>
      </c>
      <c r="L166" s="1">
        <v>32.6</v>
      </c>
      <c r="M166" s="1">
        <v>1.5</v>
      </c>
      <c r="N166" s="3" t="s">
        <v>3</v>
      </c>
      <c r="O166" s="3" t="s">
        <v>1</v>
      </c>
      <c r="P166" s="8" t="s">
        <v>29</v>
      </c>
      <c r="Q166" s="2">
        <v>45534.022662037038</v>
      </c>
      <c r="R166" s="2">
        <v>45534.043680555558</v>
      </c>
      <c r="S166" s="1"/>
      <c r="T166" s="1" t="s">
        <v>87</v>
      </c>
      <c r="U166" s="1">
        <v>656</v>
      </c>
      <c r="V166" s="1">
        <v>621</v>
      </c>
      <c r="W166" s="1">
        <v>9</v>
      </c>
      <c r="X166" s="1">
        <v>27</v>
      </c>
      <c r="Y166" s="1">
        <v>6</v>
      </c>
    </row>
    <row r="167" spans="1:25" x14ac:dyDescent="0.25">
      <c r="A167" s="3">
        <v>160.1</v>
      </c>
      <c r="B167" s="3">
        <v>1</v>
      </c>
      <c r="C167" s="7">
        <v>45534</v>
      </c>
      <c r="D167" s="3">
        <v>1075</v>
      </c>
      <c r="E167" s="1">
        <v>2109.6</v>
      </c>
      <c r="F167" s="3" t="str">
        <f t="shared" si="3"/>
        <v>Injection</v>
      </c>
      <c r="G167" s="1">
        <v>480</v>
      </c>
      <c r="H167" s="2">
        <v>45534.659722222219</v>
      </c>
      <c r="I167" s="2">
        <v>45534.914583333331</v>
      </c>
      <c r="J167" s="1">
        <f t="shared" si="4"/>
        <v>6.1166666666977108</v>
      </c>
      <c r="K167" s="1">
        <v>78.474114441018614</v>
      </c>
      <c r="L167" s="1">
        <v>40</v>
      </c>
      <c r="M167" s="1">
        <v>224</v>
      </c>
      <c r="N167" s="3" t="s">
        <v>3</v>
      </c>
      <c r="O167" s="3" t="s">
        <v>1</v>
      </c>
      <c r="P167" s="8" t="s">
        <v>29</v>
      </c>
      <c r="Q167" s="2">
        <v>45534.917592592596</v>
      </c>
      <c r="R167" s="2">
        <v>45535.35292824074</v>
      </c>
      <c r="S167" s="1"/>
      <c r="T167" s="1" t="s">
        <v>87</v>
      </c>
      <c r="U167" s="1">
        <v>14753</v>
      </c>
      <c r="V167" s="1">
        <v>11122</v>
      </c>
      <c r="W167" s="1">
        <v>118</v>
      </c>
      <c r="X167" s="1">
        <v>336</v>
      </c>
      <c r="Y167" s="1">
        <v>6</v>
      </c>
    </row>
    <row r="168" spans="1:25" x14ac:dyDescent="0.25">
      <c r="A168" s="3">
        <v>160.19999999999999</v>
      </c>
      <c r="B168" s="3">
        <v>2</v>
      </c>
      <c r="C168" s="7">
        <v>45535</v>
      </c>
      <c r="D168" s="3">
        <v>1075</v>
      </c>
      <c r="E168" s="1">
        <v>2109.6</v>
      </c>
      <c r="F168" s="3" t="str">
        <f t="shared" si="3"/>
        <v>Injection</v>
      </c>
      <c r="G168" s="1">
        <v>164</v>
      </c>
      <c r="H168" s="2">
        <v>45535.583333333336</v>
      </c>
      <c r="I168" s="2">
        <v>45535.795138888891</v>
      </c>
      <c r="J168" s="1">
        <f t="shared" si="4"/>
        <v>5.0833333333139308</v>
      </c>
      <c r="K168" s="1">
        <v>32.262295082090354</v>
      </c>
      <c r="L168" s="1">
        <v>40</v>
      </c>
      <c r="M168" s="1">
        <v>0</v>
      </c>
      <c r="N168" s="3" t="s">
        <v>3</v>
      </c>
      <c r="O168" s="3" t="s">
        <v>1</v>
      </c>
      <c r="P168" s="8" t="s">
        <v>29</v>
      </c>
      <c r="Q168" s="2">
        <v>45535.802268518521</v>
      </c>
      <c r="R168" s="2">
        <v>45535.813252314816</v>
      </c>
      <c r="S168" s="1"/>
      <c r="T168" s="1" t="s">
        <v>87</v>
      </c>
      <c r="U168" s="1">
        <v>411</v>
      </c>
      <c r="V168" s="1">
        <v>358</v>
      </c>
      <c r="W168" s="1">
        <v>4</v>
      </c>
      <c r="X168" s="1">
        <v>11</v>
      </c>
      <c r="Y168" s="1">
        <v>6</v>
      </c>
    </row>
    <row r="169" spans="1:25" x14ac:dyDescent="0.25">
      <c r="A169" s="3">
        <v>161</v>
      </c>
      <c r="C169" s="7">
        <v>45537</v>
      </c>
      <c r="D169" s="3">
        <v>1077</v>
      </c>
      <c r="E169" s="1">
        <v>2113</v>
      </c>
      <c r="F169" s="3" t="str">
        <f t="shared" si="3"/>
        <v>Injection</v>
      </c>
      <c r="G169" s="1">
        <v>198</v>
      </c>
      <c r="H169" s="2">
        <v>45537.486111111109</v>
      </c>
      <c r="I169" s="2">
        <v>45537.597222222219</v>
      </c>
      <c r="J169" s="1">
        <f t="shared" si="4"/>
        <v>2.6666666666278616</v>
      </c>
      <c r="K169" s="1">
        <v>74.25000000108048</v>
      </c>
      <c r="L169" s="1">
        <v>32.6</v>
      </c>
      <c r="M169" s="1">
        <v>1</v>
      </c>
      <c r="N169" s="3" t="s">
        <v>3</v>
      </c>
      <c r="O169" s="3" t="s">
        <v>1</v>
      </c>
      <c r="P169" s="8" t="s">
        <v>29</v>
      </c>
      <c r="Q169" s="2">
        <v>45537.597592592596</v>
      </c>
      <c r="R169" s="2">
        <v>45537.652708333335</v>
      </c>
      <c r="S169" s="1"/>
      <c r="T169" s="1" t="s">
        <v>87</v>
      </c>
      <c r="U169" s="1">
        <v>1190</v>
      </c>
      <c r="V169" s="1">
        <v>935</v>
      </c>
      <c r="W169" s="1">
        <v>10</v>
      </c>
      <c r="X169" s="1">
        <v>28</v>
      </c>
      <c r="Y169" s="1">
        <v>6</v>
      </c>
    </row>
    <row r="170" spans="1:25" x14ac:dyDescent="0.25">
      <c r="A170" s="3">
        <v>162</v>
      </c>
      <c r="C170" s="7">
        <v>45537</v>
      </c>
      <c r="D170" s="3">
        <v>1089</v>
      </c>
      <c r="E170" s="1">
        <v>2134.6</v>
      </c>
      <c r="F170" s="3" t="str">
        <f t="shared" si="3"/>
        <v>Injection</v>
      </c>
      <c r="G170" s="1">
        <v>240</v>
      </c>
      <c r="H170" s="2">
        <v>45538.038194444445</v>
      </c>
      <c r="I170" s="2">
        <v>45538.152777777781</v>
      </c>
      <c r="J170" s="1">
        <f t="shared" si="4"/>
        <v>2.7500000000582077</v>
      </c>
      <c r="K170" s="1">
        <v>87.272727270880026</v>
      </c>
      <c r="L170" s="1">
        <v>40</v>
      </c>
      <c r="M170" s="1">
        <v>20.5</v>
      </c>
      <c r="N170" s="3" t="s">
        <v>3</v>
      </c>
      <c r="O170" s="3" t="s">
        <v>1</v>
      </c>
      <c r="P170" s="8" t="s">
        <v>29</v>
      </c>
      <c r="Q170" s="2">
        <v>45538.172118055554</v>
      </c>
      <c r="R170" s="2">
        <v>45538.266041666669</v>
      </c>
      <c r="S170" s="1"/>
      <c r="T170" s="1" t="s">
        <v>87</v>
      </c>
      <c r="U170" s="1">
        <v>5408</v>
      </c>
      <c r="V170" s="1">
        <v>3806</v>
      </c>
      <c r="W170" s="1">
        <v>38</v>
      </c>
      <c r="X170" s="1">
        <v>113</v>
      </c>
      <c r="Y170" s="1">
        <v>8</v>
      </c>
    </row>
    <row r="171" spans="1:25" x14ac:dyDescent="0.25">
      <c r="A171" s="3">
        <v>163</v>
      </c>
      <c r="C171" s="7">
        <v>45538</v>
      </c>
      <c r="D171" s="3">
        <v>1103</v>
      </c>
      <c r="E171" s="1">
        <v>2159.8000000000002</v>
      </c>
      <c r="F171" s="3" t="str">
        <f t="shared" si="3"/>
        <v>Injection</v>
      </c>
      <c r="G171" s="1">
        <v>262.3</v>
      </c>
      <c r="H171" s="2">
        <v>45538.958333333336</v>
      </c>
      <c r="I171" s="2">
        <v>45539.1875</v>
      </c>
      <c r="J171" s="1">
        <f t="shared" si="4"/>
        <v>5.4999999999417923</v>
      </c>
      <c r="K171" s="1">
        <v>47.690909091413815</v>
      </c>
      <c r="L171" s="1">
        <v>40</v>
      </c>
      <c r="M171" s="1">
        <v>7.5</v>
      </c>
      <c r="N171" s="3" t="s">
        <v>3</v>
      </c>
      <c r="O171" s="3" t="s">
        <v>1</v>
      </c>
      <c r="P171" s="8" t="s">
        <v>29</v>
      </c>
      <c r="Q171" s="2">
        <v>45539.214999999997</v>
      </c>
      <c r="R171" s="2">
        <v>45539.257337962961</v>
      </c>
      <c r="S171" s="1"/>
      <c r="T171" s="1" t="s">
        <v>87</v>
      </c>
      <c r="U171" s="1">
        <v>1305</v>
      </c>
      <c r="V171" s="1">
        <v>1079</v>
      </c>
      <c r="W171" s="1">
        <v>13</v>
      </c>
      <c r="X171" s="1">
        <v>37</v>
      </c>
      <c r="Y171" s="1">
        <v>7</v>
      </c>
    </row>
    <row r="172" spans="1:25" x14ac:dyDescent="0.25">
      <c r="A172" s="3">
        <v>164</v>
      </c>
      <c r="C172" s="7">
        <v>45540</v>
      </c>
      <c r="D172" s="3">
        <v>1117</v>
      </c>
      <c r="E172" s="1">
        <v>2185</v>
      </c>
      <c r="F172" s="3" t="str">
        <f t="shared" si="3"/>
        <v>Injection</v>
      </c>
      <c r="G172" s="1">
        <v>240</v>
      </c>
      <c r="H172" s="2">
        <v>45540.0625</v>
      </c>
      <c r="I172" s="2">
        <v>45540.193749999999</v>
      </c>
      <c r="J172" s="1">
        <f t="shared" si="4"/>
        <v>3.1499999999650754</v>
      </c>
      <c r="K172" s="1">
        <v>76.190476191320926</v>
      </c>
      <c r="L172" s="1">
        <v>40</v>
      </c>
      <c r="M172" s="1">
        <v>0</v>
      </c>
      <c r="N172" s="3" t="s">
        <v>3</v>
      </c>
      <c r="O172" s="3" t="s">
        <v>1</v>
      </c>
      <c r="P172" s="8" t="s">
        <v>29</v>
      </c>
      <c r="Q172" s="2">
        <v>45540.208599537036</v>
      </c>
      <c r="R172" s="2">
        <v>45540.24927083333</v>
      </c>
      <c r="S172" s="1"/>
      <c r="T172" s="1" t="s">
        <v>87</v>
      </c>
      <c r="U172" s="1">
        <v>1450</v>
      </c>
      <c r="V172" s="1">
        <v>1076</v>
      </c>
      <c r="W172" s="1">
        <v>11</v>
      </c>
      <c r="X172" s="1">
        <v>32</v>
      </c>
      <c r="Y172" s="1">
        <v>6</v>
      </c>
    </row>
    <row r="173" spans="1:25" x14ac:dyDescent="0.25">
      <c r="A173" s="3">
        <v>165</v>
      </c>
      <c r="C173" s="7">
        <v>45541</v>
      </c>
      <c r="D173" s="3">
        <v>1131</v>
      </c>
      <c r="E173" s="1">
        <v>2210.1999999999998</v>
      </c>
      <c r="F173" s="3" t="str">
        <f t="shared" si="3"/>
        <v>Injection</v>
      </c>
      <c r="G173" s="1">
        <v>240</v>
      </c>
      <c r="H173" s="2">
        <v>45541.15625</v>
      </c>
      <c r="I173" s="2">
        <v>45541.250694444447</v>
      </c>
      <c r="J173" s="1">
        <f t="shared" si="4"/>
        <v>2.2666666667209938</v>
      </c>
      <c r="K173" s="1">
        <v>105.8823529386387</v>
      </c>
      <c r="L173" s="1">
        <v>40</v>
      </c>
      <c r="M173" s="1">
        <v>3.5</v>
      </c>
      <c r="N173" s="3" t="s">
        <v>3</v>
      </c>
      <c r="O173" s="3" t="s">
        <v>1</v>
      </c>
      <c r="P173" s="8" t="s">
        <v>29</v>
      </c>
      <c r="Q173" s="2">
        <v>45541.26190972222</v>
      </c>
      <c r="R173" s="2">
        <v>45541.329560185186</v>
      </c>
      <c r="S173" s="1"/>
      <c r="T173" s="1" t="s">
        <v>87</v>
      </c>
      <c r="U173" s="1">
        <v>3128</v>
      </c>
      <c r="V173" s="1">
        <v>1940</v>
      </c>
      <c r="W173" s="1">
        <v>22</v>
      </c>
      <c r="X173" s="1">
        <v>63</v>
      </c>
      <c r="Y173" s="1">
        <v>6</v>
      </c>
    </row>
    <row r="174" spans="1:25" x14ac:dyDescent="0.25">
      <c r="A174" s="3">
        <v>166</v>
      </c>
      <c r="C174" s="7">
        <v>45542</v>
      </c>
      <c r="D174" s="3">
        <v>1145</v>
      </c>
      <c r="E174" s="1">
        <v>2235.3000000000002</v>
      </c>
      <c r="F174" s="3" t="str">
        <f t="shared" si="3"/>
        <v>Injection</v>
      </c>
      <c r="G174" s="1">
        <v>240</v>
      </c>
      <c r="H174" s="2">
        <v>45542.215277777781</v>
      </c>
      <c r="I174" s="2">
        <v>45542.302083333336</v>
      </c>
      <c r="J174" s="1">
        <f t="shared" si="4"/>
        <v>2.0833333333139308</v>
      </c>
      <c r="K174" s="1">
        <v>115.20000000107288</v>
      </c>
      <c r="L174" s="1">
        <v>40</v>
      </c>
      <c r="M174" s="1">
        <v>1.5</v>
      </c>
      <c r="N174" s="3" t="s">
        <v>3</v>
      </c>
      <c r="O174" s="3" t="s">
        <v>1</v>
      </c>
      <c r="P174" s="8" t="s">
        <v>29</v>
      </c>
      <c r="Q174" s="2">
        <v>45542.313599537039</v>
      </c>
      <c r="R174" s="2">
        <v>45542.352916666663</v>
      </c>
      <c r="S174" s="1"/>
      <c r="T174" s="1" t="s">
        <v>87</v>
      </c>
      <c r="U174" s="1">
        <v>1385</v>
      </c>
      <c r="V174" s="1">
        <v>921</v>
      </c>
      <c r="W174" s="1">
        <v>11</v>
      </c>
      <c r="X174" s="1">
        <v>33</v>
      </c>
      <c r="Y174" s="1">
        <v>6</v>
      </c>
    </row>
    <row r="175" spans="1:25" x14ac:dyDescent="0.25">
      <c r="A175" s="3">
        <v>167</v>
      </c>
      <c r="C175" s="7">
        <v>45543</v>
      </c>
      <c r="D175" s="3">
        <v>1159</v>
      </c>
      <c r="E175" s="1">
        <v>2260.5</v>
      </c>
      <c r="F175" s="3" t="str">
        <f t="shared" si="3"/>
        <v>Injection</v>
      </c>
      <c r="G175" s="1">
        <v>240</v>
      </c>
      <c r="H175" s="2">
        <v>45542.893750000003</v>
      </c>
      <c r="I175" s="2">
        <v>45542.993055555555</v>
      </c>
      <c r="J175" s="1">
        <f t="shared" si="4"/>
        <v>2.3833333332440816</v>
      </c>
      <c r="K175" s="1">
        <v>100.69930070307171</v>
      </c>
      <c r="L175" s="1">
        <v>40</v>
      </c>
      <c r="M175" s="1">
        <v>2</v>
      </c>
      <c r="N175" s="3" t="s">
        <v>3</v>
      </c>
      <c r="O175" s="3" t="s">
        <v>1</v>
      </c>
      <c r="P175" s="8" t="s">
        <v>29</v>
      </c>
      <c r="Q175" s="2">
        <v>45542.998229166667</v>
      </c>
      <c r="R175" s="2">
        <v>45543.207013888888</v>
      </c>
      <c r="S175" s="1"/>
      <c r="T175" s="1" t="s">
        <v>87</v>
      </c>
      <c r="U175" s="1">
        <v>10667</v>
      </c>
      <c r="V175" s="1">
        <v>8063</v>
      </c>
      <c r="W175" s="1">
        <v>82</v>
      </c>
      <c r="X175" s="1">
        <v>231</v>
      </c>
      <c r="Y175" s="1">
        <v>6</v>
      </c>
    </row>
    <row r="176" spans="1:25" x14ac:dyDescent="0.25">
      <c r="A176" s="3">
        <v>168</v>
      </c>
      <c r="C176" s="7">
        <v>45545</v>
      </c>
      <c r="D176" s="3">
        <v>1173</v>
      </c>
      <c r="E176" s="1">
        <v>2286.25</v>
      </c>
      <c r="F176" s="3" t="str">
        <f t="shared" si="3"/>
        <v>Injection</v>
      </c>
      <c r="G176" s="1">
        <v>249</v>
      </c>
      <c r="H176" s="2">
        <v>45545.517361111109</v>
      </c>
      <c r="I176" s="2">
        <v>45545.711805555555</v>
      </c>
      <c r="J176" s="1">
        <f t="shared" si="4"/>
        <v>4.6666666666860692</v>
      </c>
      <c r="K176" s="1">
        <v>53.357142856921016</v>
      </c>
      <c r="L176" s="1">
        <v>40</v>
      </c>
      <c r="M176" s="1">
        <v>18</v>
      </c>
      <c r="N176" s="3" t="s">
        <v>3</v>
      </c>
      <c r="O176" s="3" t="s">
        <v>1</v>
      </c>
      <c r="P176" s="8" t="s">
        <v>29</v>
      </c>
      <c r="Q176" s="2">
        <v>45545.715069444443</v>
      </c>
      <c r="R176" s="2">
        <v>45545.818113425928</v>
      </c>
      <c r="S176" s="1"/>
      <c r="T176" s="1" t="s">
        <v>87</v>
      </c>
      <c r="U176" s="1">
        <v>7485</v>
      </c>
      <c r="V176" s="1">
        <v>5403</v>
      </c>
      <c r="W176" s="1">
        <v>64</v>
      </c>
      <c r="X176" s="1">
        <v>178</v>
      </c>
      <c r="Y176" s="1">
        <v>8</v>
      </c>
    </row>
    <row r="177" spans="1:25" x14ac:dyDescent="0.25">
      <c r="A177" s="3">
        <v>169</v>
      </c>
      <c r="C177" s="7">
        <v>45546</v>
      </c>
      <c r="D177" s="3">
        <v>1187</v>
      </c>
      <c r="E177" s="1">
        <v>2311.29</v>
      </c>
      <c r="F177" s="3" t="str">
        <f t="shared" si="3"/>
        <v>Injection</v>
      </c>
      <c r="G177" s="1">
        <v>215</v>
      </c>
      <c r="H177" s="2">
        <v>45546.578472222223</v>
      </c>
      <c r="I177" s="2">
        <v>45546.725694444445</v>
      </c>
      <c r="J177" s="1">
        <f t="shared" si="4"/>
        <v>3.5333333333255723</v>
      </c>
      <c r="K177" s="1">
        <v>60.849056603907243</v>
      </c>
      <c r="L177" s="1">
        <v>40</v>
      </c>
      <c r="M177" s="1">
        <v>1.4</v>
      </c>
      <c r="N177" s="3" t="s">
        <v>3</v>
      </c>
      <c r="O177" s="3">
        <v>1</v>
      </c>
      <c r="P177" s="8" t="s">
        <v>29</v>
      </c>
      <c r="Q177" s="2">
        <v>45546.737372685187</v>
      </c>
      <c r="R177" s="2">
        <v>45546.774895833332</v>
      </c>
      <c r="S177" s="1"/>
      <c r="T177" s="1" t="s">
        <v>87</v>
      </c>
      <c r="U177" s="1">
        <v>2212</v>
      </c>
      <c r="V177" s="1">
        <v>1258</v>
      </c>
      <c r="W177" s="1">
        <v>13</v>
      </c>
      <c r="X177" s="1">
        <v>32</v>
      </c>
      <c r="Y177" s="1">
        <v>6</v>
      </c>
    </row>
    <row r="178" spans="1:25" x14ac:dyDescent="0.25">
      <c r="A178" s="3">
        <v>170</v>
      </c>
      <c r="C178" s="7">
        <v>45547</v>
      </c>
      <c r="D178" s="3">
        <v>1196</v>
      </c>
      <c r="E178" s="1">
        <v>2327.4699999999998</v>
      </c>
      <c r="F178" s="3" t="str">
        <f t="shared" si="3"/>
        <v>Injection</v>
      </c>
      <c r="G178" s="1">
        <v>240</v>
      </c>
      <c r="H178" s="2">
        <v>45547.15625</v>
      </c>
      <c r="I178" s="2">
        <v>45547.293055555558</v>
      </c>
      <c r="J178" s="1">
        <f t="shared" si="4"/>
        <v>3.28333333338378</v>
      </c>
      <c r="K178" s="1">
        <v>73.096446699384529</v>
      </c>
      <c r="L178" s="1">
        <v>40</v>
      </c>
      <c r="M178" s="1">
        <v>4</v>
      </c>
      <c r="N178" s="3" t="s">
        <v>3</v>
      </c>
      <c r="O178" s="3" t="s">
        <v>1</v>
      </c>
      <c r="P178" s="8" t="s">
        <v>29</v>
      </c>
      <c r="Q178" s="2">
        <v>45547.312361111108</v>
      </c>
      <c r="R178" s="2">
        <v>45547.395046296297</v>
      </c>
      <c r="S178" s="1"/>
      <c r="T178" s="1" t="s">
        <v>87</v>
      </c>
      <c r="U178" s="1">
        <v>3614</v>
      </c>
      <c r="V178" s="1">
        <v>2686</v>
      </c>
      <c r="W178" s="1">
        <v>29</v>
      </c>
      <c r="X178" s="1">
        <v>82</v>
      </c>
      <c r="Y178" s="1">
        <v>6</v>
      </c>
    </row>
    <row r="179" spans="1:25" x14ac:dyDescent="0.25">
      <c r="A179" s="3">
        <v>171</v>
      </c>
      <c r="C179" s="7">
        <v>45548</v>
      </c>
      <c r="D179" s="3">
        <v>1210</v>
      </c>
      <c r="E179" s="1">
        <v>2352.69</v>
      </c>
      <c r="F179" s="3" t="str">
        <f t="shared" si="3"/>
        <v>Injection</v>
      </c>
      <c r="G179" s="1">
        <v>240</v>
      </c>
      <c r="H179" s="2">
        <v>45548.246527777781</v>
      </c>
      <c r="I179" s="2">
        <v>45548.369444444441</v>
      </c>
      <c r="J179" s="1">
        <f t="shared" si="4"/>
        <v>2.9499999998370185</v>
      </c>
      <c r="K179" s="1">
        <v>81.355932207884578</v>
      </c>
      <c r="L179" s="1">
        <v>40</v>
      </c>
      <c r="M179" s="1">
        <v>16</v>
      </c>
      <c r="N179" s="3" t="s">
        <v>3</v>
      </c>
      <c r="O179" s="3" t="s">
        <v>1</v>
      </c>
      <c r="P179" s="8" t="s">
        <v>29</v>
      </c>
      <c r="Q179" s="2">
        <v>45548.383136574077</v>
      </c>
      <c r="R179" s="2">
        <v>45548.524317129632</v>
      </c>
      <c r="S179" s="1"/>
      <c r="T179" s="1" t="s">
        <v>87</v>
      </c>
      <c r="U179" s="1">
        <v>6271</v>
      </c>
      <c r="V179" s="1">
        <v>5060</v>
      </c>
      <c r="W179" s="1">
        <v>51</v>
      </c>
      <c r="X179" s="1">
        <v>132</v>
      </c>
      <c r="Y179" s="1">
        <v>6</v>
      </c>
    </row>
    <row r="180" spans="1:25" x14ac:dyDescent="0.25">
      <c r="A180" s="3">
        <v>172</v>
      </c>
      <c r="C180" s="7">
        <v>45551</v>
      </c>
      <c r="D180" s="3">
        <v>1224</v>
      </c>
      <c r="E180" s="1">
        <v>2376.09</v>
      </c>
      <c r="F180" s="3" t="str">
        <f t="shared" si="3"/>
        <v>Injection</v>
      </c>
      <c r="G180" s="1">
        <v>242</v>
      </c>
      <c r="H180" s="2">
        <v>45551.649305555555</v>
      </c>
      <c r="I180" s="2">
        <v>45551.791666666664</v>
      </c>
      <c r="J180" s="1">
        <f t="shared" si="4"/>
        <v>3.4166666666278616</v>
      </c>
      <c r="K180" s="1">
        <v>70.829268293487374</v>
      </c>
      <c r="L180" s="1">
        <v>40</v>
      </c>
      <c r="M180" s="1">
        <v>16</v>
      </c>
      <c r="N180" s="3" t="s">
        <v>3</v>
      </c>
      <c r="O180" s="3" t="s">
        <v>1</v>
      </c>
      <c r="P180" s="8" t="s">
        <v>29</v>
      </c>
      <c r="Q180" s="2">
        <v>45551.809664351851</v>
      </c>
      <c r="R180" s="2">
        <v>45551.893472222226</v>
      </c>
      <c r="S180" s="1"/>
      <c r="T180" s="1" t="s">
        <v>87</v>
      </c>
      <c r="U180" s="1">
        <v>6251</v>
      </c>
      <c r="V180" s="1">
        <v>4751.7</v>
      </c>
      <c r="W180" s="1">
        <v>51.2</v>
      </c>
      <c r="X180" s="1">
        <v>140.69999999999999</v>
      </c>
      <c r="Y180" s="1">
        <v>6</v>
      </c>
    </row>
    <row r="181" spans="1:25" x14ac:dyDescent="0.25">
      <c r="A181" s="3">
        <v>173</v>
      </c>
      <c r="C181" s="7">
        <v>45560</v>
      </c>
      <c r="D181" s="3">
        <v>1235</v>
      </c>
      <c r="E181" s="1">
        <v>2401</v>
      </c>
      <c r="F181" s="3" t="str">
        <f t="shared" si="3"/>
        <v>Injection</v>
      </c>
      <c r="G181" s="1">
        <v>629</v>
      </c>
      <c r="H181" s="2">
        <v>45559.416666666664</v>
      </c>
      <c r="I181" s="2">
        <v>45560.1875</v>
      </c>
      <c r="J181" s="1">
        <f t="shared" si="4"/>
        <v>18.500000000058208</v>
      </c>
      <c r="K181" s="1">
        <v>33.999999999893021</v>
      </c>
      <c r="L181" s="1">
        <v>32.6</v>
      </c>
      <c r="M181" s="1">
        <v>0</v>
      </c>
      <c r="N181" s="3" t="s">
        <v>5</v>
      </c>
      <c r="O181" s="3" t="s">
        <v>1</v>
      </c>
      <c r="P181" s="8"/>
      <c r="Q181" s="2">
        <v>45560.106354166666</v>
      </c>
      <c r="R181" s="2">
        <v>45560.358136574076</v>
      </c>
      <c r="S181" s="1"/>
      <c r="T181" s="1" t="s">
        <v>87</v>
      </c>
      <c r="U181" s="1">
        <v>13964</v>
      </c>
      <c r="V181" s="1">
        <v>11243</v>
      </c>
      <c r="W181" s="1">
        <v>116</v>
      </c>
      <c r="X181" s="1">
        <v>342</v>
      </c>
      <c r="Y181" s="1">
        <v>20</v>
      </c>
    </row>
    <row r="182" spans="1:25" x14ac:dyDescent="0.25">
      <c r="A182" s="3">
        <v>174</v>
      </c>
      <c r="C182" s="7">
        <v>45561</v>
      </c>
      <c r="D182" s="3">
        <v>1247</v>
      </c>
      <c r="E182" s="1">
        <v>2419</v>
      </c>
      <c r="F182" s="3" t="str">
        <f t="shared" si="3"/>
        <v>Injection</v>
      </c>
      <c r="G182" s="1">
        <v>561</v>
      </c>
      <c r="H182" s="2">
        <v>45560.8125</v>
      </c>
      <c r="I182" s="2">
        <v>45561.0625</v>
      </c>
      <c r="J182" s="1">
        <f t="shared" si="4"/>
        <v>6</v>
      </c>
      <c r="K182" s="1">
        <v>93.5</v>
      </c>
      <c r="L182" s="1">
        <v>32.6</v>
      </c>
      <c r="M182" s="1">
        <v>0.5</v>
      </c>
      <c r="N182" s="3" t="s">
        <v>5</v>
      </c>
      <c r="O182" s="3" t="s">
        <v>1</v>
      </c>
      <c r="P182" s="8"/>
      <c r="Q182" s="2">
        <v>45561.070486111108</v>
      </c>
      <c r="R182" s="2">
        <v>45561.176377314812</v>
      </c>
      <c r="S182" s="1"/>
      <c r="T182" s="1" t="s">
        <v>87</v>
      </c>
      <c r="U182" s="1">
        <v>7713</v>
      </c>
      <c r="V182" s="1">
        <v>6287</v>
      </c>
      <c r="W182" s="1">
        <v>65</v>
      </c>
      <c r="X182" s="1">
        <v>192</v>
      </c>
      <c r="Y182" s="1">
        <v>17</v>
      </c>
    </row>
    <row r="183" spans="1:25" x14ac:dyDescent="0.25">
      <c r="A183" s="3">
        <v>175</v>
      </c>
      <c r="C183" s="7">
        <v>45562</v>
      </c>
      <c r="D183" s="3">
        <v>1257</v>
      </c>
      <c r="E183" s="1">
        <v>2437</v>
      </c>
      <c r="F183" s="3" t="str">
        <f t="shared" si="3"/>
        <v>Injection</v>
      </c>
      <c r="G183" s="1">
        <v>693</v>
      </c>
      <c r="H183" s="2">
        <v>45561.493750000001</v>
      </c>
      <c r="I183" s="2">
        <v>45561.929166666669</v>
      </c>
      <c r="J183" s="1">
        <f t="shared" si="4"/>
        <v>10.450000000011642</v>
      </c>
      <c r="K183" s="1">
        <v>66.315789473610337</v>
      </c>
      <c r="L183" s="1">
        <v>32.6</v>
      </c>
      <c r="M183" s="1">
        <v>11.5</v>
      </c>
      <c r="N183" s="3" t="s">
        <v>3</v>
      </c>
      <c r="O183" s="3" t="s">
        <v>1</v>
      </c>
      <c r="P183" s="8" t="s">
        <v>30</v>
      </c>
      <c r="Q183" s="2">
        <v>45561.923611111109</v>
      </c>
      <c r="R183" s="2">
        <v>45562.118541666663</v>
      </c>
      <c r="S183" s="1"/>
      <c r="T183" s="1" t="s">
        <v>87</v>
      </c>
      <c r="U183" s="1">
        <v>17186</v>
      </c>
      <c r="V183" s="1">
        <v>13866</v>
      </c>
      <c r="W183" s="1">
        <v>143</v>
      </c>
      <c r="X183" s="1">
        <v>422</v>
      </c>
      <c r="Y183" s="1">
        <v>21</v>
      </c>
    </row>
    <row r="184" spans="1:25" x14ac:dyDescent="0.25">
      <c r="A184" s="3">
        <v>176</v>
      </c>
      <c r="C184" s="7">
        <v>45562</v>
      </c>
      <c r="D184" s="3">
        <v>1267</v>
      </c>
      <c r="E184" s="1">
        <v>2455</v>
      </c>
      <c r="F184" s="3" t="str">
        <f t="shared" si="3"/>
        <v>Injection</v>
      </c>
      <c r="G184" s="1">
        <v>693</v>
      </c>
      <c r="H184" s="2">
        <v>45562.5625</v>
      </c>
      <c r="I184" s="2">
        <v>45562.84375</v>
      </c>
      <c r="J184" s="1">
        <f t="shared" si="4"/>
        <v>6.75</v>
      </c>
      <c r="K184" s="1">
        <v>102.66666666666667</v>
      </c>
      <c r="L184" s="1">
        <v>32.6</v>
      </c>
      <c r="M184" s="1">
        <v>0</v>
      </c>
      <c r="N184" s="3" t="s">
        <v>5</v>
      </c>
      <c r="O184" s="3" t="s">
        <v>1</v>
      </c>
      <c r="P184" s="8"/>
      <c r="Q184" s="2">
        <v>45562.846944444442</v>
      </c>
      <c r="R184" s="2">
        <v>45563.005543981482</v>
      </c>
      <c r="S184" s="1"/>
      <c r="T184" s="1" t="s">
        <v>87</v>
      </c>
      <c r="U184" s="1">
        <v>7504</v>
      </c>
      <c r="V184" s="1">
        <v>5968</v>
      </c>
      <c r="W184" s="1">
        <v>62</v>
      </c>
      <c r="X184" s="1">
        <v>183</v>
      </c>
      <c r="Y184" s="1">
        <v>21</v>
      </c>
    </row>
    <row r="185" spans="1:25" x14ac:dyDescent="0.25">
      <c r="A185" s="3">
        <v>177</v>
      </c>
      <c r="C185" s="7">
        <v>45566</v>
      </c>
      <c r="D185" s="3">
        <v>1277</v>
      </c>
      <c r="E185" s="1">
        <v>2473</v>
      </c>
      <c r="F185" s="3" t="str">
        <f t="shared" si="3"/>
        <v>Injection</v>
      </c>
      <c r="G185" s="1">
        <v>663</v>
      </c>
      <c r="H185" s="2">
        <v>45563.63958333333</v>
      </c>
      <c r="I185" s="2">
        <v>45563.979166666664</v>
      </c>
      <c r="J185" s="1">
        <f t="shared" si="4"/>
        <v>8.1500000000232831</v>
      </c>
      <c r="K185" s="1">
        <v>81.349693251301346</v>
      </c>
      <c r="L185" s="1">
        <v>32.6</v>
      </c>
      <c r="M185" s="1">
        <v>25</v>
      </c>
      <c r="N185" s="3" t="s">
        <v>5</v>
      </c>
      <c r="O185" s="3" t="s">
        <v>1</v>
      </c>
      <c r="P185" s="8"/>
      <c r="Q185" s="2">
        <v>45566.227650462963</v>
      </c>
      <c r="R185" s="2">
        <v>45566.468101851853</v>
      </c>
      <c r="S185" s="1"/>
      <c r="T185" s="1" t="s">
        <v>87</v>
      </c>
      <c r="U185" s="1">
        <v>13800</v>
      </c>
      <c r="V185" s="1">
        <v>9813</v>
      </c>
      <c r="W185" s="1">
        <v>103</v>
      </c>
      <c r="X185" s="1">
        <v>304</v>
      </c>
      <c r="Y185" s="1">
        <v>20</v>
      </c>
    </row>
    <row r="186" spans="1:25" x14ac:dyDescent="0.25">
      <c r="A186" s="3">
        <v>178.1</v>
      </c>
      <c r="B186" s="3">
        <v>1</v>
      </c>
      <c r="C186" s="7">
        <v>45567</v>
      </c>
      <c r="D186" s="3">
        <v>1287</v>
      </c>
      <c r="E186" s="1">
        <v>2491</v>
      </c>
      <c r="F186" s="3" t="str">
        <f t="shared" ref="F186:F249" si="5">F185</f>
        <v>Injection</v>
      </c>
      <c r="G186" s="1">
        <v>522</v>
      </c>
      <c r="H186" s="2">
        <v>45566.909722222219</v>
      </c>
      <c r="I186" s="2">
        <v>45567.238194444442</v>
      </c>
      <c r="J186" s="1">
        <f t="shared" si="4"/>
        <v>7.8833333333604969</v>
      </c>
      <c r="K186" s="1">
        <v>66.215644820067823</v>
      </c>
      <c r="L186" s="1">
        <v>40</v>
      </c>
      <c r="M186" s="1">
        <v>338.5</v>
      </c>
      <c r="N186" s="3" t="s">
        <v>5</v>
      </c>
      <c r="O186" s="3" t="s">
        <v>1</v>
      </c>
      <c r="P186" s="8"/>
      <c r="Q186" s="2">
        <v>45567.211863425924</v>
      </c>
      <c r="R186" s="2">
        <v>45567.521134259259</v>
      </c>
      <c r="S186" s="1"/>
      <c r="T186" s="1" t="s">
        <v>87</v>
      </c>
      <c r="U186" s="1">
        <v>19735</v>
      </c>
      <c r="V186" s="1">
        <v>16553</v>
      </c>
      <c r="W186" s="1">
        <v>170</v>
      </c>
      <c r="X186" s="1">
        <v>372</v>
      </c>
      <c r="Y186" s="1">
        <v>13</v>
      </c>
    </row>
    <row r="187" spans="1:25" x14ac:dyDescent="0.25">
      <c r="A187" s="3">
        <v>178.2</v>
      </c>
      <c r="B187" s="3">
        <v>2</v>
      </c>
      <c r="C187" s="7">
        <v>45567</v>
      </c>
      <c r="D187" s="3">
        <v>1287</v>
      </c>
      <c r="E187" s="1">
        <v>2491</v>
      </c>
      <c r="F187" s="3" t="str">
        <f t="shared" si="5"/>
        <v>Injection</v>
      </c>
      <c r="G187" s="1">
        <v>290.60000000000002</v>
      </c>
      <c r="H187" s="2">
        <v>45567.681944444441</v>
      </c>
      <c r="I187" s="2">
        <v>45567.824305555558</v>
      </c>
      <c r="J187" s="1">
        <f t="shared" si="4"/>
        <v>3.4166666668024845</v>
      </c>
      <c r="K187" s="1">
        <v>85.053658533204356</v>
      </c>
      <c r="L187" s="1">
        <v>40</v>
      </c>
      <c r="M187" s="1">
        <v>338.5</v>
      </c>
      <c r="N187" s="3" t="s">
        <v>5</v>
      </c>
      <c r="O187" s="3" t="s">
        <v>1</v>
      </c>
      <c r="P187" s="8"/>
      <c r="Q187" s="2">
        <v>45567.834791666668</v>
      </c>
      <c r="R187" s="2">
        <v>45568.033680555556</v>
      </c>
      <c r="S187" s="1"/>
      <c r="T187" s="1" t="s">
        <v>87</v>
      </c>
      <c r="U187" s="1">
        <v>10324</v>
      </c>
      <c r="V187" s="1">
        <v>9262.5</v>
      </c>
      <c r="W187" s="1">
        <v>97.700000000000017</v>
      </c>
      <c r="X187" s="1">
        <v>219.50000000000003</v>
      </c>
      <c r="Y187" s="1">
        <v>7</v>
      </c>
    </row>
    <row r="188" spans="1:25" x14ac:dyDescent="0.25">
      <c r="A188" s="3">
        <v>179</v>
      </c>
      <c r="C188" s="7">
        <v>45568</v>
      </c>
      <c r="D188" s="3">
        <v>1289</v>
      </c>
      <c r="E188" s="1">
        <v>2494.9</v>
      </c>
      <c r="F188" s="3" t="str">
        <f t="shared" si="5"/>
        <v>Injection</v>
      </c>
      <c r="G188" s="1">
        <v>198</v>
      </c>
      <c r="H188" s="2">
        <v>45568.136805555558</v>
      </c>
      <c r="I188" s="2">
        <v>45568.229166666664</v>
      </c>
      <c r="J188" s="1">
        <f t="shared" si="4"/>
        <v>2.2166666665580124</v>
      </c>
      <c r="K188" s="1">
        <v>89.323308275055055</v>
      </c>
      <c r="L188" s="1">
        <v>32.6</v>
      </c>
      <c r="M188" s="1">
        <v>0</v>
      </c>
      <c r="N188" s="3" t="s">
        <v>3</v>
      </c>
      <c r="O188" s="3" t="s">
        <v>1</v>
      </c>
      <c r="P188" s="8" t="s">
        <v>31</v>
      </c>
      <c r="Q188" s="2">
        <v>0</v>
      </c>
      <c r="R188" s="2">
        <v>0</v>
      </c>
      <c r="S188" s="1"/>
      <c r="T188" s="1" t="s">
        <v>87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25">
      <c r="A189" s="3">
        <v>180</v>
      </c>
      <c r="C189" s="7">
        <v>45568</v>
      </c>
      <c r="D189" s="3">
        <v>1301</v>
      </c>
      <c r="E189" s="1">
        <v>2516</v>
      </c>
      <c r="F189" s="3" t="str">
        <f t="shared" si="5"/>
        <v>Injection</v>
      </c>
      <c r="G189" s="1">
        <v>911.5</v>
      </c>
      <c r="H189" s="2">
        <v>45568.822916666664</v>
      </c>
      <c r="I189" s="2">
        <v>45569.395833333336</v>
      </c>
      <c r="J189" s="1">
        <f t="shared" si="4"/>
        <v>13.750000000116415</v>
      </c>
      <c r="K189" s="1">
        <v>66.290909090347839</v>
      </c>
      <c r="L189" s="1">
        <v>40</v>
      </c>
      <c r="M189" s="1">
        <v>59.8</v>
      </c>
      <c r="N189" s="3" t="s">
        <v>5</v>
      </c>
      <c r="O189" s="3" t="s">
        <v>1</v>
      </c>
      <c r="P189" s="8"/>
      <c r="Q189" s="2">
        <v>45569.363402777781</v>
      </c>
      <c r="R189" s="2">
        <v>45569.691886574074</v>
      </c>
      <c r="S189" s="1"/>
      <c r="T189" s="1" t="s">
        <v>87</v>
      </c>
      <c r="U189" s="1">
        <v>22383</v>
      </c>
      <c r="V189" s="1">
        <v>16638</v>
      </c>
      <c r="W189" s="1">
        <v>171</v>
      </c>
      <c r="X189" s="1">
        <v>452</v>
      </c>
      <c r="Y189" s="1">
        <v>23</v>
      </c>
    </row>
    <row r="190" spans="1:25" x14ac:dyDescent="0.25">
      <c r="A190" s="3">
        <v>181</v>
      </c>
      <c r="C190" s="7">
        <v>45570</v>
      </c>
      <c r="D190" s="3">
        <v>1315</v>
      </c>
      <c r="E190" s="1">
        <v>2542.1999999999998</v>
      </c>
      <c r="F190" s="3" t="str">
        <f t="shared" si="5"/>
        <v>Injection</v>
      </c>
      <c r="G190" s="1">
        <v>723.25</v>
      </c>
      <c r="H190" s="2">
        <v>45570.267361111109</v>
      </c>
      <c r="I190" s="2">
        <v>45570.78125</v>
      </c>
      <c r="J190" s="1">
        <f t="shared" si="4"/>
        <v>12.333333333372138</v>
      </c>
      <c r="K190" s="1">
        <v>58.641891891707381</v>
      </c>
      <c r="L190" s="1">
        <v>40</v>
      </c>
      <c r="M190" s="1">
        <v>67</v>
      </c>
      <c r="N190" s="3" t="s">
        <v>3</v>
      </c>
      <c r="O190" s="3" t="s">
        <v>1</v>
      </c>
      <c r="P190" s="8" t="s">
        <v>32</v>
      </c>
      <c r="Q190" s="2">
        <v>45570.627233796295</v>
      </c>
      <c r="R190" s="2">
        <v>45571.051134259258</v>
      </c>
      <c r="S190" s="1"/>
      <c r="T190" s="1" t="s">
        <v>87</v>
      </c>
      <c r="U190" s="1">
        <v>21518</v>
      </c>
      <c r="V190" s="1">
        <v>17287.599999999999</v>
      </c>
      <c r="W190" s="1">
        <v>175.8</v>
      </c>
      <c r="X190" s="1">
        <v>453.99999999999994</v>
      </c>
      <c r="Y190" s="1">
        <v>20</v>
      </c>
    </row>
    <row r="191" spans="1:25" x14ac:dyDescent="0.25">
      <c r="A191" s="3">
        <v>182</v>
      </c>
      <c r="C191" s="7">
        <v>45573</v>
      </c>
      <c r="D191" s="3">
        <v>1329</v>
      </c>
      <c r="E191" s="1">
        <v>2566.9</v>
      </c>
      <c r="F191" s="3" t="str">
        <f t="shared" si="5"/>
        <v>Injection</v>
      </c>
      <c r="G191" s="1">
        <v>877.6</v>
      </c>
      <c r="H191" s="2">
        <v>45572.979166666664</v>
      </c>
      <c r="I191" s="2">
        <v>45573.594444444447</v>
      </c>
      <c r="J191" s="1">
        <f t="shared" si="4"/>
        <v>14.766666666779201</v>
      </c>
      <c r="K191" s="1">
        <v>59.431151241082077</v>
      </c>
      <c r="L191" s="1">
        <v>40</v>
      </c>
      <c r="M191" s="1">
        <v>24</v>
      </c>
      <c r="N191" s="3" t="s">
        <v>5</v>
      </c>
      <c r="O191" s="3" t="s">
        <v>1</v>
      </c>
      <c r="P191" s="8"/>
      <c r="Q191" s="2">
        <v>45573.607789351852</v>
      </c>
      <c r="R191" s="2">
        <v>45573.887499999997</v>
      </c>
      <c r="S191" s="1"/>
      <c r="T191" s="1" t="s">
        <v>87</v>
      </c>
      <c r="U191" s="1">
        <v>16474</v>
      </c>
      <c r="V191" s="1">
        <v>12585.8</v>
      </c>
      <c r="W191" s="1">
        <v>126.19999999999997</v>
      </c>
      <c r="X191" s="1">
        <v>355.00000000000006</v>
      </c>
      <c r="Y191" s="1">
        <v>22</v>
      </c>
    </row>
    <row r="192" spans="1:25" x14ac:dyDescent="0.25">
      <c r="A192" s="3">
        <v>183</v>
      </c>
      <c r="C192" s="7">
        <v>45575</v>
      </c>
      <c r="D192" s="3">
        <v>1343</v>
      </c>
      <c r="E192" s="1">
        <v>2591.56</v>
      </c>
      <c r="F192" s="3" t="str">
        <f t="shared" si="5"/>
        <v>Injection</v>
      </c>
      <c r="G192" s="1">
        <v>704.9</v>
      </c>
      <c r="H192" s="2">
        <v>45574.791666666664</v>
      </c>
      <c r="I192" s="2">
        <v>45575.399305555555</v>
      </c>
      <c r="J192" s="1">
        <f t="shared" si="4"/>
        <v>14.583333333372138</v>
      </c>
      <c r="K192" s="1">
        <v>48.335999999871383</v>
      </c>
      <c r="L192" s="1">
        <v>40</v>
      </c>
      <c r="M192" s="1">
        <v>6.6</v>
      </c>
      <c r="N192" s="3" t="s">
        <v>3</v>
      </c>
      <c r="O192" s="3" t="s">
        <v>1</v>
      </c>
      <c r="P192" s="8" t="s">
        <v>7</v>
      </c>
      <c r="Q192" s="2">
        <v>45575.382777777777</v>
      </c>
      <c r="R192" s="2">
        <v>45575.603206018517</v>
      </c>
      <c r="S192" s="1"/>
      <c r="T192" s="1" t="s">
        <v>87</v>
      </c>
      <c r="U192" s="1">
        <v>11524</v>
      </c>
      <c r="V192" s="1">
        <v>8265</v>
      </c>
      <c r="W192" s="1">
        <v>83.500000000000028</v>
      </c>
      <c r="X192" s="1">
        <v>203.2</v>
      </c>
      <c r="Y192" s="1">
        <v>17</v>
      </c>
    </row>
    <row r="193" spans="1:25" x14ac:dyDescent="0.25">
      <c r="A193" s="3">
        <v>184</v>
      </c>
      <c r="C193" s="7">
        <v>45576</v>
      </c>
      <c r="D193" s="3">
        <v>1347</v>
      </c>
      <c r="E193" s="1">
        <v>2599.31</v>
      </c>
      <c r="F193" s="3" t="str">
        <f t="shared" si="5"/>
        <v>Injection</v>
      </c>
      <c r="G193" s="1">
        <v>70</v>
      </c>
      <c r="H193" s="2">
        <v>45576.208333333336</v>
      </c>
      <c r="I193" s="2">
        <v>45576.357638888891</v>
      </c>
      <c r="J193" s="1">
        <f t="shared" si="4"/>
        <v>3.5833333333139308</v>
      </c>
      <c r="K193" s="1">
        <v>19.534883721036007</v>
      </c>
      <c r="L193" s="1">
        <v>32.6</v>
      </c>
      <c r="M193" s="1">
        <v>0</v>
      </c>
      <c r="N193" s="3" t="s">
        <v>3</v>
      </c>
      <c r="O193" s="3" t="s">
        <v>1</v>
      </c>
      <c r="P193" s="8" t="s">
        <v>8</v>
      </c>
      <c r="Q193" s="2">
        <v>45576.37295138889</v>
      </c>
      <c r="R193" s="2">
        <v>45576.382291666669</v>
      </c>
      <c r="S193" s="1"/>
      <c r="T193" s="1" t="s">
        <v>87</v>
      </c>
      <c r="U193" s="1">
        <v>170</v>
      </c>
      <c r="V193" s="1">
        <v>180.2</v>
      </c>
      <c r="W193" s="1">
        <v>1.8</v>
      </c>
      <c r="X193" s="1">
        <v>5.2999999999999989</v>
      </c>
      <c r="Y193" s="1">
        <v>2</v>
      </c>
    </row>
    <row r="194" spans="1:25" x14ac:dyDescent="0.25">
      <c r="A194" s="3">
        <v>185</v>
      </c>
      <c r="C194" s="7">
        <v>45576</v>
      </c>
      <c r="D194" s="3">
        <v>1357</v>
      </c>
      <c r="E194" s="1">
        <v>2616.87</v>
      </c>
      <c r="F194" s="3" t="str">
        <f t="shared" si="5"/>
        <v>Injection</v>
      </c>
      <c r="G194" s="1">
        <v>400</v>
      </c>
      <c r="H194" s="2">
        <v>45576.727083333331</v>
      </c>
      <c r="I194" s="2">
        <v>45577.083333333336</v>
      </c>
      <c r="J194" s="1">
        <f t="shared" ref="J194:J257" si="6">(I194-H194)*24</f>
        <v>8.5500000001047738</v>
      </c>
      <c r="K194" s="1">
        <v>46.783625730420852</v>
      </c>
      <c r="L194" s="1">
        <v>40</v>
      </c>
      <c r="M194" s="1">
        <v>2</v>
      </c>
      <c r="N194" s="3" t="s">
        <v>5</v>
      </c>
      <c r="O194" s="3" t="s">
        <v>1</v>
      </c>
      <c r="P194" s="8"/>
      <c r="Q194" s="2">
        <v>45577.093541666669</v>
      </c>
      <c r="R194" s="2">
        <v>45577.187210648146</v>
      </c>
      <c r="S194" s="1"/>
      <c r="T194" s="1" t="s">
        <v>87</v>
      </c>
      <c r="U194" s="1">
        <v>3431</v>
      </c>
      <c r="V194" s="1">
        <v>3143.1000000000004</v>
      </c>
      <c r="W194" s="1">
        <v>31.5</v>
      </c>
      <c r="X194" s="1">
        <v>162.4</v>
      </c>
      <c r="Y194" s="1">
        <v>12</v>
      </c>
    </row>
    <row r="195" spans="1:25" x14ac:dyDescent="0.25">
      <c r="A195" s="3">
        <v>186</v>
      </c>
      <c r="C195" s="7">
        <v>45579</v>
      </c>
      <c r="D195" s="3">
        <v>1371</v>
      </c>
      <c r="E195" s="1">
        <v>2640.43</v>
      </c>
      <c r="F195" s="3" t="str">
        <f t="shared" si="5"/>
        <v>Injection</v>
      </c>
      <c r="G195" s="1">
        <v>480</v>
      </c>
      <c r="H195" s="13">
        <v>45577.759722222225</v>
      </c>
      <c r="I195" s="13">
        <v>45578.052083333336</v>
      </c>
      <c r="J195" s="1">
        <f t="shared" si="6"/>
        <v>7.0166666666627862</v>
      </c>
      <c r="K195" s="1">
        <v>68.40855106892144</v>
      </c>
      <c r="L195" s="1">
        <v>40</v>
      </c>
      <c r="M195" s="1">
        <v>2</v>
      </c>
      <c r="N195" s="3" t="s">
        <v>3</v>
      </c>
      <c r="O195" s="3" t="s">
        <v>1</v>
      </c>
      <c r="P195" s="8" t="s">
        <v>17</v>
      </c>
      <c r="Q195" s="13">
        <v>45579.327905092592</v>
      </c>
      <c r="R195" s="13">
        <v>45579.434131944443</v>
      </c>
      <c r="S195" s="1"/>
      <c r="T195" s="1" t="s">
        <v>87</v>
      </c>
      <c r="U195" s="1">
        <v>4640</v>
      </c>
      <c r="V195" s="1">
        <v>3778.5</v>
      </c>
      <c r="W195" s="1">
        <v>39.799999999999997</v>
      </c>
      <c r="X195" s="1">
        <v>176.4</v>
      </c>
      <c r="Y195" s="1">
        <v>12</v>
      </c>
    </row>
    <row r="196" spans="1:25" x14ac:dyDescent="0.25">
      <c r="A196" s="3">
        <v>187</v>
      </c>
      <c r="C196" s="7">
        <v>45580</v>
      </c>
      <c r="D196" s="3">
        <v>1384</v>
      </c>
      <c r="E196" s="1">
        <v>2665.91</v>
      </c>
      <c r="F196" s="3" t="str">
        <f t="shared" si="5"/>
        <v>Injection</v>
      </c>
      <c r="G196" s="1">
        <v>455</v>
      </c>
      <c r="H196" s="2">
        <v>45580.142361111109</v>
      </c>
      <c r="I196" s="2">
        <v>45580.3125</v>
      </c>
      <c r="J196" s="1">
        <f t="shared" si="6"/>
        <v>4.0833333333721384</v>
      </c>
      <c r="K196" s="1">
        <v>111.42857142751249</v>
      </c>
      <c r="L196" s="1">
        <v>40</v>
      </c>
      <c r="M196" s="1">
        <v>2</v>
      </c>
      <c r="N196" s="3" t="s">
        <v>3</v>
      </c>
      <c r="O196" s="3" t="s">
        <v>1</v>
      </c>
      <c r="P196" s="8" t="s">
        <v>17</v>
      </c>
      <c r="Q196" s="2">
        <v>45580.318356481483</v>
      </c>
      <c r="R196" s="2">
        <v>45580.378368055557</v>
      </c>
      <c r="S196" s="1"/>
      <c r="T196" s="1" t="s">
        <v>87</v>
      </c>
      <c r="U196" s="1">
        <v>3767</v>
      </c>
      <c r="V196" s="1">
        <v>3061</v>
      </c>
      <c r="W196" s="1">
        <v>32</v>
      </c>
      <c r="X196" s="1">
        <v>157</v>
      </c>
      <c r="Y196" s="1">
        <v>11</v>
      </c>
    </row>
    <row r="197" spans="1:25" x14ac:dyDescent="0.25">
      <c r="A197" s="3">
        <v>188</v>
      </c>
      <c r="C197" s="7">
        <v>45581</v>
      </c>
      <c r="D197" s="3">
        <v>1399</v>
      </c>
      <c r="E197" s="1">
        <v>2692.89</v>
      </c>
      <c r="F197" s="3" t="str">
        <f t="shared" si="5"/>
        <v>Injection</v>
      </c>
      <c r="G197" s="1">
        <v>480</v>
      </c>
      <c r="H197" s="2">
        <v>45580.834722222222</v>
      </c>
      <c r="I197" s="2">
        <v>45581.142361111109</v>
      </c>
      <c r="J197" s="1">
        <f t="shared" si="6"/>
        <v>7.3833333333022892</v>
      </c>
      <c r="K197" s="1">
        <v>65.011286681988921</v>
      </c>
      <c r="L197" s="1">
        <v>40</v>
      </c>
      <c r="M197" s="1">
        <v>4</v>
      </c>
      <c r="N197" s="3" t="s">
        <v>5</v>
      </c>
      <c r="O197" s="3" t="s">
        <v>1</v>
      </c>
      <c r="P197" s="8"/>
      <c r="Q197" s="2">
        <v>45581.167696759258</v>
      </c>
      <c r="R197" s="2">
        <v>45581.325787037036</v>
      </c>
      <c r="S197" s="1"/>
      <c r="T197" s="1" t="s">
        <v>87</v>
      </c>
      <c r="U197" s="1">
        <v>5666</v>
      </c>
      <c r="V197" s="1">
        <v>4929</v>
      </c>
      <c r="W197" s="1">
        <v>50</v>
      </c>
      <c r="X197" s="1">
        <v>137</v>
      </c>
      <c r="Y197" s="1">
        <v>11</v>
      </c>
    </row>
    <row r="198" spans="1:25" x14ac:dyDescent="0.25">
      <c r="A198" s="3">
        <v>189</v>
      </c>
      <c r="C198" s="7">
        <v>45582</v>
      </c>
      <c r="D198" s="3">
        <v>1412</v>
      </c>
      <c r="E198" s="1">
        <v>2716.33</v>
      </c>
      <c r="F198" s="3" t="str">
        <f t="shared" si="5"/>
        <v>Injection</v>
      </c>
      <c r="G198" s="1">
        <v>440</v>
      </c>
      <c r="H198" s="2">
        <v>45581.806944444441</v>
      </c>
      <c r="I198" s="2">
        <v>45581.993055555555</v>
      </c>
      <c r="J198" s="1">
        <f t="shared" si="6"/>
        <v>4.4666666667326353</v>
      </c>
      <c r="K198" s="1">
        <v>98.507462685112301</v>
      </c>
      <c r="L198" s="1">
        <v>40</v>
      </c>
      <c r="M198" s="1">
        <v>5</v>
      </c>
      <c r="N198" s="3" t="s">
        <v>5</v>
      </c>
      <c r="O198" s="3" t="s">
        <v>1</v>
      </c>
      <c r="P198" s="8"/>
      <c r="Q198" s="2">
        <v>45582.048310185186</v>
      </c>
      <c r="R198" s="2">
        <v>45582.133125</v>
      </c>
      <c r="S198" s="1"/>
      <c r="T198" s="1" t="s">
        <v>87</v>
      </c>
      <c r="U198" s="1">
        <v>4009</v>
      </c>
      <c r="V198" s="1">
        <v>3203</v>
      </c>
      <c r="W198" s="1">
        <v>34</v>
      </c>
      <c r="X198" s="1">
        <v>101</v>
      </c>
      <c r="Y198" s="1">
        <v>10</v>
      </c>
    </row>
    <row r="199" spans="1:25" x14ac:dyDescent="0.25">
      <c r="A199" s="3">
        <v>190</v>
      </c>
      <c r="C199" s="7">
        <v>45582</v>
      </c>
      <c r="D199" s="3">
        <v>1427</v>
      </c>
      <c r="E199" s="1">
        <v>2743.34</v>
      </c>
      <c r="F199" s="3" t="str">
        <f t="shared" si="5"/>
        <v>Injection</v>
      </c>
      <c r="G199" s="1">
        <v>400</v>
      </c>
      <c r="H199" s="2">
        <v>45582.663194444445</v>
      </c>
      <c r="I199" s="2">
        <v>45582.878472222219</v>
      </c>
      <c r="J199" s="1">
        <f t="shared" si="6"/>
        <v>5.1666666665696539</v>
      </c>
      <c r="K199" s="1">
        <v>77.419354840163351</v>
      </c>
      <c r="L199" s="1">
        <v>40</v>
      </c>
      <c r="M199" s="1">
        <v>1</v>
      </c>
      <c r="N199" s="3" t="s">
        <v>3</v>
      </c>
      <c r="O199" s="3" t="s">
        <v>1</v>
      </c>
      <c r="P199" s="8" t="s">
        <v>8</v>
      </c>
      <c r="Q199" s="2">
        <v>45582.885057870371</v>
      </c>
      <c r="R199" s="2">
        <v>45582.926412037035</v>
      </c>
      <c r="S199" s="1"/>
      <c r="T199" s="1" t="s">
        <v>87</v>
      </c>
      <c r="U199" s="1">
        <v>1836</v>
      </c>
      <c r="V199" s="1">
        <v>1440</v>
      </c>
      <c r="W199" s="1">
        <v>14.800000000000002</v>
      </c>
      <c r="X199" s="1">
        <v>42.600000000000009</v>
      </c>
      <c r="Y199" s="1">
        <v>11</v>
      </c>
    </row>
    <row r="200" spans="1:25" x14ac:dyDescent="0.25">
      <c r="A200" s="3">
        <v>191</v>
      </c>
      <c r="C200" s="7">
        <v>45584</v>
      </c>
      <c r="D200" s="3">
        <v>1438</v>
      </c>
      <c r="E200" s="1">
        <v>2763.14</v>
      </c>
      <c r="F200" s="3" t="str">
        <f t="shared" si="5"/>
        <v>Injection</v>
      </c>
      <c r="G200" s="1">
        <v>440</v>
      </c>
      <c r="H200" s="2">
        <v>45583.868055555555</v>
      </c>
      <c r="I200" s="2">
        <v>45584.0625</v>
      </c>
      <c r="J200" s="1">
        <f t="shared" si="6"/>
        <v>4.6666666666860692</v>
      </c>
      <c r="K200" s="1">
        <v>94.285714285322271</v>
      </c>
      <c r="L200" s="1">
        <v>40</v>
      </c>
      <c r="M200" s="1">
        <v>1</v>
      </c>
      <c r="N200" s="3" t="s">
        <v>3</v>
      </c>
      <c r="O200" s="3" t="s">
        <v>1</v>
      </c>
      <c r="P200" s="8" t="s">
        <v>8</v>
      </c>
      <c r="Q200" s="2">
        <v>45584.092465277776</v>
      </c>
      <c r="R200" s="2">
        <v>45584.130023148151</v>
      </c>
      <c r="S200" s="1"/>
      <c r="T200" s="1" t="s">
        <v>87</v>
      </c>
      <c r="U200" s="1">
        <v>915</v>
      </c>
      <c r="V200" s="1">
        <v>900</v>
      </c>
      <c r="W200" s="1">
        <v>9</v>
      </c>
      <c r="X200" s="1">
        <v>27</v>
      </c>
      <c r="Y200" s="1">
        <v>11</v>
      </c>
    </row>
    <row r="201" spans="1:25" x14ac:dyDescent="0.25">
      <c r="A201" s="3">
        <v>192</v>
      </c>
      <c r="C201" s="7">
        <v>45587</v>
      </c>
      <c r="D201" s="3">
        <v>1453</v>
      </c>
      <c r="E201" s="1">
        <v>2790</v>
      </c>
      <c r="F201" s="3" t="str">
        <f t="shared" si="5"/>
        <v>Injection</v>
      </c>
      <c r="G201" s="1">
        <v>478</v>
      </c>
      <c r="H201" s="2">
        <v>45586.756944444445</v>
      </c>
      <c r="I201" s="2">
        <v>45587.034722222219</v>
      </c>
      <c r="J201" s="1">
        <f t="shared" si="6"/>
        <v>6.6666666665696539</v>
      </c>
      <c r="K201" s="1">
        <v>71.700000001043378</v>
      </c>
      <c r="L201" s="1">
        <v>40</v>
      </c>
      <c r="M201" s="1">
        <v>0</v>
      </c>
      <c r="N201" s="3" t="s">
        <v>3</v>
      </c>
      <c r="O201" s="3" t="s">
        <v>1</v>
      </c>
      <c r="P201" s="8" t="s">
        <v>7</v>
      </c>
      <c r="Q201" s="2">
        <v>45587.075740740744</v>
      </c>
      <c r="R201" s="2">
        <v>45587.107476851852</v>
      </c>
      <c r="S201" s="1"/>
      <c r="T201" s="1" t="s">
        <v>87</v>
      </c>
      <c r="U201" s="1">
        <v>1624</v>
      </c>
      <c r="V201" s="1">
        <v>1162</v>
      </c>
      <c r="W201" s="1">
        <v>12</v>
      </c>
      <c r="X201" s="1">
        <v>34</v>
      </c>
      <c r="Y201" s="1">
        <v>12</v>
      </c>
    </row>
    <row r="202" spans="1:25" x14ac:dyDescent="0.25">
      <c r="A202" s="3">
        <v>193</v>
      </c>
      <c r="C202" s="7">
        <v>45588</v>
      </c>
      <c r="D202" s="3">
        <v>1467</v>
      </c>
      <c r="E202" s="1">
        <v>2815.6</v>
      </c>
      <c r="F202" s="3" t="str">
        <f t="shared" si="5"/>
        <v>Injection</v>
      </c>
      <c r="G202" s="1">
        <v>440</v>
      </c>
      <c r="H202" s="2">
        <v>45587.951388888891</v>
      </c>
      <c r="I202" s="2">
        <v>45588.166666666664</v>
      </c>
      <c r="J202" s="1">
        <f t="shared" si="6"/>
        <v>5.1666666665696539</v>
      </c>
      <c r="K202" s="1">
        <v>85.161290324179689</v>
      </c>
      <c r="L202" s="1">
        <v>40</v>
      </c>
      <c r="M202" s="1">
        <v>0</v>
      </c>
      <c r="N202" s="3" t="s">
        <v>3</v>
      </c>
      <c r="O202" s="3" t="s">
        <v>1</v>
      </c>
      <c r="P202" s="8" t="s">
        <v>7</v>
      </c>
      <c r="Q202" s="2">
        <v>45588.18650462963</v>
      </c>
      <c r="R202" s="2">
        <v>45588.274247685185</v>
      </c>
      <c r="S202" s="1"/>
      <c r="T202" s="1" t="s">
        <v>87</v>
      </c>
      <c r="U202" s="1">
        <v>6291</v>
      </c>
      <c r="V202" s="1">
        <v>4940</v>
      </c>
      <c r="W202" s="1">
        <v>51</v>
      </c>
      <c r="X202" s="1">
        <v>146</v>
      </c>
      <c r="Y202" s="1">
        <v>11</v>
      </c>
    </row>
    <row r="203" spans="1:25" x14ac:dyDescent="0.25">
      <c r="A203" s="3">
        <v>194</v>
      </c>
      <c r="C203" s="7">
        <v>45589</v>
      </c>
      <c r="D203" s="3">
        <v>1481</v>
      </c>
      <c r="E203" s="1">
        <v>2840</v>
      </c>
      <c r="F203" s="3" t="str">
        <f t="shared" si="5"/>
        <v>Injection</v>
      </c>
      <c r="G203" s="1">
        <v>480</v>
      </c>
      <c r="H203" s="2">
        <v>45589.482638888891</v>
      </c>
      <c r="I203" s="2">
        <v>45589.715277777781</v>
      </c>
      <c r="J203" s="1">
        <f t="shared" si="6"/>
        <v>5.5833333333721384</v>
      </c>
      <c r="K203" s="1">
        <v>85.97014925313384</v>
      </c>
      <c r="L203" s="1">
        <v>40</v>
      </c>
      <c r="M203" s="1">
        <v>8</v>
      </c>
      <c r="N203" s="3" t="s">
        <v>3</v>
      </c>
      <c r="O203" s="3" t="s">
        <v>1</v>
      </c>
      <c r="P203" s="8" t="s">
        <v>8</v>
      </c>
      <c r="Q203" s="2">
        <v>45589.737210648149</v>
      </c>
      <c r="R203" s="2">
        <v>45589.853402777779</v>
      </c>
      <c r="S203" s="1"/>
      <c r="T203" s="1" t="s">
        <v>87</v>
      </c>
      <c r="U203" s="1">
        <v>3791</v>
      </c>
      <c r="V203" s="1">
        <v>3200</v>
      </c>
      <c r="W203" s="1">
        <v>34</v>
      </c>
      <c r="X203" s="1">
        <v>100</v>
      </c>
      <c r="Y203" s="1">
        <v>12</v>
      </c>
    </row>
    <row r="204" spans="1:25" x14ac:dyDescent="0.25">
      <c r="A204" s="3">
        <v>195</v>
      </c>
      <c r="C204" s="7">
        <v>45590</v>
      </c>
      <c r="D204" s="3">
        <v>1495</v>
      </c>
      <c r="E204" s="1">
        <v>2865</v>
      </c>
      <c r="F204" s="3" t="str">
        <f t="shared" si="5"/>
        <v>Injection</v>
      </c>
      <c r="G204" s="1">
        <v>480</v>
      </c>
      <c r="H204" s="2">
        <v>45590.527777777781</v>
      </c>
      <c r="I204" s="2">
        <v>45590.819444444445</v>
      </c>
      <c r="J204" s="1">
        <f t="shared" si="6"/>
        <v>6.9999999999417923</v>
      </c>
      <c r="K204" s="1">
        <v>68.571428571998766</v>
      </c>
      <c r="L204" s="1">
        <v>40</v>
      </c>
      <c r="M204" s="1">
        <v>0</v>
      </c>
      <c r="N204" s="3" t="s">
        <v>3</v>
      </c>
      <c r="O204" s="3" t="s">
        <v>1</v>
      </c>
      <c r="P204" s="8" t="s">
        <v>23</v>
      </c>
      <c r="Q204" s="2">
        <v>45590.830995370372</v>
      </c>
      <c r="R204" s="2">
        <v>45590.949317129627</v>
      </c>
      <c r="S204" s="1"/>
      <c r="T204" s="1" t="s">
        <v>87</v>
      </c>
      <c r="U204" s="1">
        <v>7628</v>
      </c>
      <c r="V204" s="1">
        <v>6130</v>
      </c>
      <c r="W204" s="1">
        <v>61</v>
      </c>
      <c r="X204" s="1">
        <v>181</v>
      </c>
      <c r="Y204" s="1">
        <v>12</v>
      </c>
    </row>
    <row r="205" spans="1:25" x14ac:dyDescent="0.25">
      <c r="A205" s="3">
        <v>196</v>
      </c>
      <c r="C205" s="7">
        <v>45591</v>
      </c>
      <c r="D205" s="3">
        <v>1509</v>
      </c>
      <c r="E205" s="1">
        <v>2890.5</v>
      </c>
      <c r="F205" s="3" t="str">
        <f t="shared" si="5"/>
        <v>Injection</v>
      </c>
      <c r="G205" s="1">
        <v>478.5</v>
      </c>
      <c r="H205" s="2">
        <v>45591.506944444445</v>
      </c>
      <c r="I205" s="2">
        <v>45591.794444444444</v>
      </c>
      <c r="J205" s="1">
        <f t="shared" si="6"/>
        <v>6.8999999999650754</v>
      </c>
      <c r="K205" s="1">
        <v>69.347826087307524</v>
      </c>
      <c r="L205" s="1">
        <v>40</v>
      </c>
      <c r="M205" s="1">
        <v>7</v>
      </c>
      <c r="N205" s="3" t="s">
        <v>5</v>
      </c>
      <c r="O205" s="3" t="s">
        <v>1</v>
      </c>
      <c r="P205" s="8"/>
      <c r="Q205" s="2">
        <v>45591.800613425927</v>
      </c>
      <c r="R205" s="2">
        <v>45591.87908564815</v>
      </c>
      <c r="S205" s="1"/>
      <c r="T205" s="1" t="s">
        <v>87</v>
      </c>
      <c r="U205" s="1">
        <v>5528</v>
      </c>
      <c r="V205" s="1">
        <v>4162</v>
      </c>
      <c r="W205" s="1">
        <v>43</v>
      </c>
      <c r="X205" s="1">
        <v>123</v>
      </c>
      <c r="Y205" s="1">
        <v>12</v>
      </c>
    </row>
    <row r="206" spans="1:25" x14ac:dyDescent="0.25">
      <c r="A206" s="3">
        <v>197</v>
      </c>
      <c r="C206" s="7">
        <v>45594</v>
      </c>
      <c r="D206" s="3">
        <v>1523</v>
      </c>
      <c r="E206" s="1">
        <v>2915.7</v>
      </c>
      <c r="F206" s="3" t="str">
        <f t="shared" si="5"/>
        <v>Injection</v>
      </c>
      <c r="G206" s="1">
        <v>452</v>
      </c>
      <c r="H206" s="2">
        <v>45594.0625</v>
      </c>
      <c r="I206" s="2">
        <v>45594.473611111112</v>
      </c>
      <c r="J206" s="1">
        <f t="shared" si="6"/>
        <v>9.8666666666977108</v>
      </c>
      <c r="K206" s="1">
        <v>45.810810810666673</v>
      </c>
      <c r="L206" s="1">
        <v>40</v>
      </c>
      <c r="M206" s="1">
        <v>74</v>
      </c>
      <c r="N206" s="3" t="s">
        <v>5</v>
      </c>
      <c r="O206" s="3" t="s">
        <v>1</v>
      </c>
      <c r="P206" s="8"/>
      <c r="Q206" s="2">
        <v>45594.49</v>
      </c>
      <c r="R206" s="2">
        <v>45594.656180555554</v>
      </c>
      <c r="S206" s="1"/>
      <c r="T206" s="1" t="s">
        <v>87</v>
      </c>
      <c r="U206" s="1">
        <v>9470</v>
      </c>
      <c r="V206" s="1">
        <v>7428</v>
      </c>
      <c r="W206" s="1">
        <v>82</v>
      </c>
      <c r="X206" s="1">
        <v>242</v>
      </c>
      <c r="Y206" s="1">
        <v>13</v>
      </c>
    </row>
    <row r="207" spans="1:25" x14ac:dyDescent="0.25">
      <c r="A207" s="3">
        <v>198</v>
      </c>
      <c r="C207" s="7">
        <v>45595</v>
      </c>
      <c r="D207" s="3">
        <v>1525</v>
      </c>
      <c r="E207" s="1">
        <v>2919.8</v>
      </c>
      <c r="F207" s="3" t="str">
        <f t="shared" si="5"/>
        <v>Injection</v>
      </c>
      <c r="G207" s="1">
        <v>212.7</v>
      </c>
      <c r="H207" s="2">
        <v>45594.841666666667</v>
      </c>
      <c r="I207" s="2">
        <v>45595.002083333333</v>
      </c>
      <c r="J207" s="1">
        <f t="shared" si="6"/>
        <v>3.8499999999767169</v>
      </c>
      <c r="K207" s="1">
        <v>55.246753247087348</v>
      </c>
      <c r="L207" s="1">
        <v>32.6</v>
      </c>
      <c r="M207" s="1">
        <v>28</v>
      </c>
      <c r="N207" s="3" t="s">
        <v>3</v>
      </c>
      <c r="O207" s="3" t="s">
        <v>1</v>
      </c>
      <c r="P207" s="8"/>
      <c r="Q207" s="2">
        <v>45595.010613425926</v>
      </c>
      <c r="R207" s="2">
        <v>45595.045590277776</v>
      </c>
      <c r="S207" s="1"/>
      <c r="T207" s="1" t="s">
        <v>87</v>
      </c>
      <c r="U207" s="1">
        <v>1124</v>
      </c>
      <c r="V207" s="1">
        <v>901</v>
      </c>
      <c r="W207" s="1">
        <v>9</v>
      </c>
      <c r="X207" s="1">
        <v>27</v>
      </c>
      <c r="Y207" s="1">
        <v>7</v>
      </c>
    </row>
    <row r="208" spans="1:25" x14ac:dyDescent="0.25">
      <c r="A208" s="3">
        <v>199</v>
      </c>
      <c r="C208" s="7">
        <v>45596</v>
      </c>
      <c r="D208" s="3">
        <v>1537</v>
      </c>
      <c r="E208" s="1">
        <v>2941.3</v>
      </c>
      <c r="F208" s="3" t="str">
        <f t="shared" si="5"/>
        <v>Injection</v>
      </c>
      <c r="G208" s="1">
        <v>437.5</v>
      </c>
      <c r="H208" s="2">
        <v>45595.911805555559</v>
      </c>
      <c r="I208" s="2">
        <v>45596.178472222222</v>
      </c>
      <c r="J208" s="1">
        <f t="shared" si="6"/>
        <v>6.3999999999068677</v>
      </c>
      <c r="K208" s="1">
        <v>68.35937500099476</v>
      </c>
      <c r="L208" s="1">
        <v>40</v>
      </c>
      <c r="M208" s="1">
        <v>20</v>
      </c>
      <c r="N208" s="3" t="s">
        <v>3</v>
      </c>
      <c r="O208" s="3" t="s">
        <v>1</v>
      </c>
      <c r="P208" s="8" t="s">
        <v>25</v>
      </c>
      <c r="Q208" s="2">
        <v>45596.17255787037</v>
      </c>
      <c r="R208" s="2">
        <v>45596.279027777775</v>
      </c>
      <c r="S208" s="1"/>
      <c r="T208" s="1" t="s">
        <v>87</v>
      </c>
      <c r="U208" s="1">
        <v>6033</v>
      </c>
      <c r="V208" s="1">
        <v>4345</v>
      </c>
      <c r="W208" s="1">
        <v>45</v>
      </c>
      <c r="X208" s="1">
        <v>134</v>
      </c>
      <c r="Y208" s="1">
        <v>12</v>
      </c>
    </row>
    <row r="209" spans="1:25" x14ac:dyDescent="0.25">
      <c r="A209" s="3">
        <v>200</v>
      </c>
      <c r="C209" s="7">
        <v>45597</v>
      </c>
      <c r="D209" s="3">
        <v>1551</v>
      </c>
      <c r="E209" s="1">
        <v>2967</v>
      </c>
      <c r="F209" s="3" t="str">
        <f t="shared" si="5"/>
        <v>Injection</v>
      </c>
      <c r="G209" s="1">
        <v>487</v>
      </c>
      <c r="H209" s="2">
        <v>45596.935416666667</v>
      </c>
      <c r="I209" s="2">
        <v>45597.122916666667</v>
      </c>
      <c r="J209" s="1">
        <f t="shared" si="6"/>
        <v>4.5</v>
      </c>
      <c r="K209" s="1">
        <v>108.22222222222223</v>
      </c>
      <c r="L209" s="1">
        <v>40</v>
      </c>
      <c r="M209" s="1">
        <v>0.5</v>
      </c>
      <c r="N209" s="3" t="s">
        <v>5</v>
      </c>
      <c r="O209" s="3" t="s">
        <v>1</v>
      </c>
      <c r="P209" s="8"/>
      <c r="Q209" s="2">
        <v>45597.115057870367</v>
      </c>
      <c r="R209" s="2">
        <v>45597.221597222226</v>
      </c>
      <c r="S209" s="1"/>
      <c r="T209" s="1" t="s">
        <v>87</v>
      </c>
      <c r="U209" s="1">
        <v>4900</v>
      </c>
      <c r="V209" s="1">
        <v>4043</v>
      </c>
      <c r="W209" s="1">
        <v>44</v>
      </c>
      <c r="X209" s="1">
        <v>125</v>
      </c>
      <c r="Y209" s="1">
        <v>12</v>
      </c>
    </row>
    <row r="210" spans="1:25" x14ac:dyDescent="0.25">
      <c r="A210" s="3">
        <v>201</v>
      </c>
      <c r="C210" s="7">
        <v>45598</v>
      </c>
      <c r="D210" s="3">
        <v>1565</v>
      </c>
      <c r="E210" s="1">
        <v>2992</v>
      </c>
      <c r="F210" s="3" t="str">
        <f t="shared" si="5"/>
        <v>Injection</v>
      </c>
      <c r="G210" s="1">
        <v>480</v>
      </c>
      <c r="H210" s="2">
        <v>45598.111805555556</v>
      </c>
      <c r="I210" s="2">
        <v>45598.491666666669</v>
      </c>
      <c r="J210" s="1">
        <f t="shared" si="6"/>
        <v>9.1166666666977108</v>
      </c>
      <c r="K210" s="1">
        <v>52.650822668924917</v>
      </c>
      <c r="L210" s="1">
        <v>40</v>
      </c>
      <c r="M210" s="1">
        <v>4</v>
      </c>
      <c r="N210" s="3" t="s">
        <v>3</v>
      </c>
      <c r="O210" s="3" t="s">
        <v>1</v>
      </c>
      <c r="P210" s="8" t="s">
        <v>25</v>
      </c>
      <c r="Q210" s="2">
        <v>45598.511550925927</v>
      </c>
      <c r="R210" s="2">
        <v>45598.592442129629</v>
      </c>
      <c r="S210" s="1"/>
      <c r="T210" s="1" t="s">
        <v>87</v>
      </c>
      <c r="U210" s="1">
        <v>7060</v>
      </c>
      <c r="V210" s="1">
        <v>5062</v>
      </c>
      <c r="W210" s="1">
        <v>51</v>
      </c>
      <c r="X210" s="1">
        <v>150</v>
      </c>
      <c r="Y210" s="1">
        <v>12</v>
      </c>
    </row>
    <row r="211" spans="1:25" x14ac:dyDescent="0.25">
      <c r="A211" s="3">
        <v>202</v>
      </c>
      <c r="C211" s="7">
        <v>45600</v>
      </c>
      <c r="D211" s="3">
        <v>1577</v>
      </c>
      <c r="E211" s="1">
        <v>3014</v>
      </c>
      <c r="F211" s="3" t="str">
        <f t="shared" si="5"/>
        <v>Injection</v>
      </c>
      <c r="G211" s="1">
        <v>486</v>
      </c>
      <c r="H211" s="2">
        <v>45600.324305555558</v>
      </c>
      <c r="I211" s="2">
        <v>45600.743750000001</v>
      </c>
      <c r="J211" s="1">
        <f t="shared" si="6"/>
        <v>10.066666666651145</v>
      </c>
      <c r="K211" s="1">
        <v>48.278145695438681</v>
      </c>
      <c r="L211" s="1">
        <v>40</v>
      </c>
      <c r="M211" s="1">
        <v>8.5</v>
      </c>
      <c r="N211" s="3" t="s">
        <v>3</v>
      </c>
      <c r="O211" s="3" t="s">
        <v>1</v>
      </c>
      <c r="P211" s="8" t="s">
        <v>8</v>
      </c>
      <c r="Q211" s="2">
        <v>45600.764560185184</v>
      </c>
      <c r="R211" s="2">
        <v>45600.831226851849</v>
      </c>
      <c r="S211" s="1"/>
      <c r="T211" s="1" t="s">
        <v>87</v>
      </c>
      <c r="U211" s="1">
        <v>3950</v>
      </c>
      <c r="V211" s="1">
        <v>2964.2</v>
      </c>
      <c r="W211" s="1">
        <v>29.79999999999999</v>
      </c>
      <c r="X211" s="1">
        <v>87.500000000000014</v>
      </c>
      <c r="Y211" s="1">
        <v>12</v>
      </c>
    </row>
    <row r="212" spans="1:25" x14ac:dyDescent="0.25">
      <c r="A212" s="3">
        <v>203</v>
      </c>
      <c r="C212" s="7">
        <v>45601</v>
      </c>
      <c r="D212" s="3">
        <v>1591</v>
      </c>
      <c r="E212" s="1">
        <v>3039</v>
      </c>
      <c r="F212" s="3" t="str">
        <f t="shared" si="5"/>
        <v>Injection</v>
      </c>
      <c r="G212" s="1">
        <v>495.5</v>
      </c>
      <c r="H212" s="2">
        <v>45601.833333333336</v>
      </c>
      <c r="I212" s="2">
        <v>45602.306944444441</v>
      </c>
      <c r="J212" s="1">
        <f t="shared" si="6"/>
        <v>11.366666666523088</v>
      </c>
      <c r="K212" s="1">
        <v>43.592375367119558</v>
      </c>
      <c r="L212" s="1">
        <v>40</v>
      </c>
      <c r="M212" s="1">
        <v>25</v>
      </c>
      <c r="N212" s="3" t="s">
        <v>3</v>
      </c>
      <c r="O212" s="3" t="s">
        <v>1</v>
      </c>
      <c r="P212" s="8" t="s">
        <v>7</v>
      </c>
      <c r="Q212" s="2">
        <v>45602.244710648149</v>
      </c>
      <c r="R212" s="2">
        <v>45602.462094907409</v>
      </c>
      <c r="S212" s="1"/>
      <c r="T212" s="1" t="s">
        <v>87</v>
      </c>
      <c r="U212" s="1">
        <v>16411</v>
      </c>
      <c r="V212" s="1">
        <v>12084.300000000001</v>
      </c>
      <c r="W212" s="1">
        <v>121.6</v>
      </c>
      <c r="X212" s="1">
        <v>347.00000000000006</v>
      </c>
      <c r="Y212" s="1">
        <v>12</v>
      </c>
    </row>
    <row r="213" spans="1:25" x14ac:dyDescent="0.25">
      <c r="A213" s="3">
        <v>204.1</v>
      </c>
      <c r="B213" s="3">
        <v>1</v>
      </c>
      <c r="C213" s="7">
        <v>45603</v>
      </c>
      <c r="D213" s="3">
        <v>1605</v>
      </c>
      <c r="E213" s="1">
        <v>3063</v>
      </c>
      <c r="F213" s="3" t="str">
        <f t="shared" si="5"/>
        <v>Injection</v>
      </c>
      <c r="G213" s="1">
        <v>411</v>
      </c>
      <c r="H213" s="2">
        <v>45603.197916666664</v>
      </c>
      <c r="I213" s="2">
        <v>45603.447916666664</v>
      </c>
      <c r="J213" s="1">
        <f t="shared" si="6"/>
        <v>6</v>
      </c>
      <c r="K213" s="1">
        <v>68.5</v>
      </c>
      <c r="L213" s="1">
        <v>40</v>
      </c>
      <c r="M213" s="1">
        <v>322</v>
      </c>
      <c r="N213" s="3" t="s">
        <v>5</v>
      </c>
      <c r="O213" s="3" t="s">
        <v>1</v>
      </c>
      <c r="P213" s="8"/>
      <c r="Q213" s="2">
        <v>45603.462025462963</v>
      </c>
      <c r="R213" s="2">
        <v>45603.854097222225</v>
      </c>
      <c r="S213" s="1"/>
      <c r="T213" s="1" t="s">
        <v>87</v>
      </c>
      <c r="U213" s="1">
        <v>19844</v>
      </c>
      <c r="V213" s="1">
        <v>13326.299999999997</v>
      </c>
      <c r="W213" s="1">
        <v>138.69999999999999</v>
      </c>
      <c r="X213" s="1">
        <v>360.99999999999994</v>
      </c>
      <c r="Y213" s="1">
        <v>12</v>
      </c>
    </row>
    <row r="214" spans="1:25" x14ac:dyDescent="0.25">
      <c r="A214" s="3">
        <v>204.2</v>
      </c>
      <c r="B214" s="3">
        <v>2</v>
      </c>
      <c r="C214" s="7">
        <v>45604</v>
      </c>
      <c r="D214" s="3">
        <v>1605</v>
      </c>
      <c r="E214" s="1">
        <v>3063</v>
      </c>
      <c r="F214" s="3" t="str">
        <f t="shared" si="5"/>
        <v>Injection</v>
      </c>
      <c r="G214" s="1">
        <f>26.5+21+18+40+40+40+40+40+40+40+37.5</f>
        <v>383</v>
      </c>
      <c r="H214" s="2">
        <v>45604.013888888891</v>
      </c>
      <c r="I214" s="2">
        <v>45604.21875</v>
      </c>
      <c r="J214" s="1">
        <f t="shared" si="6"/>
        <v>4.9166666666278616</v>
      </c>
      <c r="K214" s="1">
        <v>77.898305085360576</v>
      </c>
      <c r="L214" s="1">
        <v>40</v>
      </c>
      <c r="M214" s="1">
        <v>322</v>
      </c>
      <c r="N214" s="3" t="s">
        <v>5</v>
      </c>
      <c r="O214" s="3" t="s">
        <v>1</v>
      </c>
      <c r="P214" s="8"/>
      <c r="Q214" s="2">
        <v>45604.181192129632</v>
      </c>
      <c r="R214" s="2">
        <v>45604.343622685185</v>
      </c>
      <c r="S214" s="1"/>
      <c r="T214" s="1" t="s">
        <v>87</v>
      </c>
      <c r="U214" s="1">
        <v>11478</v>
      </c>
      <c r="V214" s="1">
        <v>8140.8999999999987</v>
      </c>
      <c r="W214" s="1">
        <v>87.6</v>
      </c>
      <c r="X214" s="1">
        <v>246.2</v>
      </c>
      <c r="Y214" s="1">
        <v>11</v>
      </c>
    </row>
    <row r="215" spans="1:25" x14ac:dyDescent="0.25">
      <c r="A215" s="3">
        <v>205</v>
      </c>
      <c r="C215" s="7">
        <v>45607</v>
      </c>
      <c r="D215" s="3">
        <v>1609</v>
      </c>
      <c r="E215" s="1">
        <v>3070</v>
      </c>
      <c r="F215" s="3" t="str">
        <f t="shared" si="5"/>
        <v>Injection</v>
      </c>
      <c r="G215" s="1">
        <v>480</v>
      </c>
      <c r="H215" s="2">
        <v>45607.847222222219</v>
      </c>
      <c r="I215" s="2">
        <v>45608.013888888891</v>
      </c>
      <c r="J215" s="1">
        <f t="shared" si="6"/>
        <v>4.0000000001164153</v>
      </c>
      <c r="K215" s="1">
        <v>119.99999999650754</v>
      </c>
      <c r="L215" s="1">
        <v>40</v>
      </c>
      <c r="M215" s="1">
        <v>2</v>
      </c>
      <c r="N215" s="3" t="s">
        <v>5</v>
      </c>
      <c r="O215" s="3" t="s">
        <v>1</v>
      </c>
      <c r="P215" s="8"/>
      <c r="Q215" s="2">
        <v>45608.03460648148</v>
      </c>
      <c r="R215" s="2">
        <v>45608.164571759262</v>
      </c>
      <c r="S215" s="1"/>
      <c r="T215" s="1" t="s">
        <v>87</v>
      </c>
      <c r="U215" s="1">
        <v>5639</v>
      </c>
      <c r="V215" s="1">
        <v>4185.1000000000013</v>
      </c>
      <c r="W215" s="1">
        <v>41.8</v>
      </c>
      <c r="X215" s="1">
        <v>123.59999999999998</v>
      </c>
      <c r="Y215" s="1">
        <v>12</v>
      </c>
    </row>
    <row r="216" spans="1:25" x14ac:dyDescent="0.25">
      <c r="A216" s="3">
        <v>206</v>
      </c>
      <c r="C216" s="7">
        <v>45609</v>
      </c>
      <c r="D216" s="3">
        <v>1623</v>
      </c>
      <c r="E216" s="1">
        <v>3095</v>
      </c>
      <c r="F216" s="3" t="str">
        <f t="shared" si="5"/>
        <v>Injection</v>
      </c>
      <c r="G216" s="1">
        <v>400</v>
      </c>
      <c r="H216" s="2">
        <v>45609.086805555555</v>
      </c>
      <c r="I216" s="2">
        <v>45609.4375</v>
      </c>
      <c r="J216" s="1">
        <f t="shared" si="6"/>
        <v>8.4166666666860692</v>
      </c>
      <c r="K216" s="1">
        <v>47.524752475137966</v>
      </c>
      <c r="L216" s="1">
        <v>40</v>
      </c>
      <c r="M216" s="1">
        <v>0</v>
      </c>
      <c r="N216" s="3" t="s">
        <v>3</v>
      </c>
      <c r="O216" s="3" t="s">
        <v>1</v>
      </c>
      <c r="P216" s="8" t="s">
        <v>7</v>
      </c>
      <c r="Q216" s="2">
        <v>45609.353125000001</v>
      </c>
      <c r="R216" s="2">
        <v>45609.491678240738</v>
      </c>
      <c r="S216" s="1"/>
      <c r="T216" s="1" t="s">
        <v>87</v>
      </c>
      <c r="U216" s="1">
        <v>7101</v>
      </c>
      <c r="V216" s="1">
        <v>5102.5999999999995</v>
      </c>
      <c r="W216" s="1">
        <v>51.200000000000024</v>
      </c>
      <c r="X216" s="1">
        <v>150.80000000000001</v>
      </c>
      <c r="Y216" s="1">
        <v>10</v>
      </c>
    </row>
    <row r="217" spans="1:25" x14ac:dyDescent="0.25">
      <c r="A217" s="3">
        <v>207</v>
      </c>
      <c r="C217" s="7">
        <v>45611</v>
      </c>
      <c r="D217" s="3">
        <v>1637</v>
      </c>
      <c r="E217" s="1">
        <v>3121</v>
      </c>
      <c r="F217" s="3" t="str">
        <f t="shared" si="5"/>
        <v>Injection</v>
      </c>
      <c r="G217" s="1">
        <v>423</v>
      </c>
      <c r="H217" s="2">
        <v>45611.472222222219</v>
      </c>
      <c r="I217" s="2">
        <v>45611.878472222219</v>
      </c>
      <c r="J217" s="1">
        <f t="shared" si="6"/>
        <v>9.75</v>
      </c>
      <c r="K217" s="1">
        <v>43.384615384615387</v>
      </c>
      <c r="L217" s="1">
        <v>40</v>
      </c>
      <c r="M217" s="1">
        <v>75</v>
      </c>
      <c r="N217" s="3" t="s">
        <v>3</v>
      </c>
      <c r="O217" s="3" t="s">
        <v>1</v>
      </c>
      <c r="P217" s="8" t="s">
        <v>19</v>
      </c>
      <c r="Q217" s="2">
        <v>45611.90284722222</v>
      </c>
      <c r="R217" s="2">
        <v>45612.22246527778</v>
      </c>
      <c r="S217" s="1"/>
      <c r="T217" s="1" t="s">
        <v>87</v>
      </c>
      <c r="U217" s="1">
        <v>13356</v>
      </c>
      <c r="V217" s="1">
        <v>10374.9</v>
      </c>
      <c r="W217" s="1">
        <v>106.79999999999997</v>
      </c>
      <c r="X217" s="1">
        <v>309.89999999999992</v>
      </c>
      <c r="Y217" s="1">
        <v>12</v>
      </c>
    </row>
    <row r="218" spans="1:25" x14ac:dyDescent="0.25">
      <c r="A218" s="3">
        <v>208</v>
      </c>
      <c r="C218" s="7">
        <v>45614</v>
      </c>
      <c r="D218" s="3">
        <v>1651</v>
      </c>
      <c r="E218" s="1">
        <v>3146</v>
      </c>
      <c r="F218" s="3" t="str">
        <f t="shared" si="5"/>
        <v>Injection</v>
      </c>
      <c r="G218" s="1">
        <v>480</v>
      </c>
      <c r="H218" s="2">
        <v>45612.881944444445</v>
      </c>
      <c r="I218" s="2">
        <v>45613.048611111109</v>
      </c>
      <c r="J218" s="1">
        <f t="shared" si="6"/>
        <v>3.9999999999417923</v>
      </c>
      <c r="K218" s="1">
        <v>120.00000000174623</v>
      </c>
      <c r="L218" s="1">
        <v>40</v>
      </c>
      <c r="M218" s="1">
        <v>3</v>
      </c>
      <c r="N218" s="3" t="s">
        <v>5</v>
      </c>
      <c r="O218" s="3" t="s">
        <v>1</v>
      </c>
      <c r="P218" s="8"/>
      <c r="Q218" s="2">
        <v>45614.308298611111</v>
      </c>
      <c r="R218" s="2">
        <v>45614.418796296297</v>
      </c>
      <c r="S218" s="1"/>
      <c r="T218" s="1" t="s">
        <v>87</v>
      </c>
      <c r="U218" s="1">
        <v>6659</v>
      </c>
      <c r="V218" s="1">
        <v>4724.0999999999995</v>
      </c>
      <c r="W218" s="1">
        <v>47.200000000000024</v>
      </c>
      <c r="X218" s="1">
        <v>139.20000000000002</v>
      </c>
      <c r="Y218" s="1">
        <v>12</v>
      </c>
    </row>
    <row r="219" spans="1:25" x14ac:dyDescent="0.25">
      <c r="A219" s="3">
        <v>209</v>
      </c>
      <c r="C219" s="7">
        <v>45615</v>
      </c>
      <c r="D219" s="3">
        <v>1665</v>
      </c>
      <c r="E219" s="1">
        <v>3170</v>
      </c>
      <c r="F219" s="3" t="str">
        <f t="shared" si="5"/>
        <v>Injection</v>
      </c>
      <c r="G219" s="1">
        <v>477</v>
      </c>
      <c r="H219" s="2">
        <v>45614.96875</v>
      </c>
      <c r="I219" s="2">
        <v>45615.227083333331</v>
      </c>
      <c r="J219" s="1">
        <f t="shared" si="6"/>
        <v>6.1999999999534339</v>
      </c>
      <c r="K219" s="1">
        <v>76.935483871545586</v>
      </c>
      <c r="L219" s="1">
        <v>40</v>
      </c>
      <c r="M219" s="1" t="s">
        <v>1</v>
      </c>
      <c r="N219" s="3" t="s">
        <v>3</v>
      </c>
      <c r="O219" s="3" t="s">
        <v>1</v>
      </c>
      <c r="P219" s="8" t="s">
        <v>7</v>
      </c>
      <c r="Q219" s="2">
        <v>45615.226388888892</v>
      </c>
      <c r="R219" s="2">
        <v>45615.359988425924</v>
      </c>
      <c r="S219" s="1"/>
      <c r="T219" s="1" t="s">
        <v>87</v>
      </c>
      <c r="U219" s="1">
        <v>8869</v>
      </c>
      <c r="V219" s="1">
        <v>6124</v>
      </c>
      <c r="W219" s="1">
        <v>61</v>
      </c>
      <c r="X219" s="1">
        <v>181</v>
      </c>
      <c r="Y219" s="1">
        <v>12</v>
      </c>
    </row>
    <row r="220" spans="1:25" x14ac:dyDescent="0.25">
      <c r="A220" s="3">
        <v>210</v>
      </c>
      <c r="C220" s="7">
        <v>45615</v>
      </c>
      <c r="D220" s="3">
        <v>1679</v>
      </c>
      <c r="E220" s="1">
        <v>3196.5</v>
      </c>
      <c r="F220" s="3" t="str">
        <f t="shared" si="5"/>
        <v>Injection</v>
      </c>
      <c r="G220" s="1">
        <v>431</v>
      </c>
      <c r="H220" s="2">
        <v>45615.840277777781</v>
      </c>
      <c r="I220" s="2">
        <v>45616.173611111109</v>
      </c>
      <c r="J220" s="1">
        <f t="shared" si="6"/>
        <v>7.9999999998835847</v>
      </c>
      <c r="K220" s="1">
        <v>53.875000000783984</v>
      </c>
      <c r="L220" s="1">
        <v>40</v>
      </c>
      <c r="M220" s="1">
        <v>73</v>
      </c>
      <c r="N220" s="3" t="s">
        <v>3</v>
      </c>
      <c r="O220" s="3" t="s">
        <v>1</v>
      </c>
      <c r="P220" s="8" t="s">
        <v>33</v>
      </c>
      <c r="Q220" s="2">
        <v>45616.179502314815</v>
      </c>
      <c r="R220" s="2">
        <v>45616.46056712963</v>
      </c>
      <c r="S220" s="1"/>
      <c r="T220" s="1" t="s">
        <v>87</v>
      </c>
      <c r="U220" s="1">
        <v>20897</v>
      </c>
      <c r="V220" s="1">
        <v>16094</v>
      </c>
      <c r="W220" s="1">
        <v>164</v>
      </c>
      <c r="X220" s="1">
        <v>483</v>
      </c>
      <c r="Y220" s="1">
        <v>12</v>
      </c>
    </row>
    <row r="221" spans="1:25" x14ac:dyDescent="0.25">
      <c r="A221" s="3">
        <v>211</v>
      </c>
      <c r="C221" s="7">
        <v>45616</v>
      </c>
      <c r="D221" s="3">
        <v>1687</v>
      </c>
      <c r="E221" s="1">
        <v>3211</v>
      </c>
      <c r="F221" s="3" t="str">
        <f t="shared" si="5"/>
        <v>Injection</v>
      </c>
      <c r="G221" s="1">
        <v>480</v>
      </c>
      <c r="H221" s="2">
        <v>45616.923611111109</v>
      </c>
      <c r="I221" s="2">
        <v>45617.131944444445</v>
      </c>
      <c r="J221" s="1">
        <f t="shared" si="6"/>
        <v>5.0000000000582077</v>
      </c>
      <c r="K221" s="1">
        <v>95.999999998882416</v>
      </c>
      <c r="L221" s="1">
        <v>40</v>
      </c>
      <c r="M221" s="1">
        <v>75</v>
      </c>
      <c r="N221" s="3" t="s">
        <v>3</v>
      </c>
      <c r="O221" s="3" t="s">
        <v>1</v>
      </c>
      <c r="P221" s="8" t="s">
        <v>33</v>
      </c>
      <c r="Q221" s="2">
        <v>45617.13962962963</v>
      </c>
      <c r="R221" s="2">
        <v>45617.32471064815</v>
      </c>
      <c r="S221" s="1"/>
      <c r="T221" s="1" t="s">
        <v>87</v>
      </c>
      <c r="U221" s="1">
        <v>12114</v>
      </c>
      <c r="V221" s="1">
        <v>9105</v>
      </c>
      <c r="W221" s="1">
        <v>97</v>
      </c>
      <c r="X221" s="1">
        <v>287</v>
      </c>
      <c r="Y221" s="1">
        <v>12</v>
      </c>
    </row>
    <row r="222" spans="1:25" x14ac:dyDescent="0.25">
      <c r="A222" s="3">
        <v>212</v>
      </c>
      <c r="C222" s="7">
        <v>45617</v>
      </c>
      <c r="D222" s="3">
        <v>1695</v>
      </c>
      <c r="E222" s="1">
        <v>3225.4</v>
      </c>
      <c r="F222" s="3" t="str">
        <f t="shared" si="5"/>
        <v>Injection</v>
      </c>
      <c r="G222" s="1">
        <v>480</v>
      </c>
      <c r="H222" s="2">
        <v>45617.604166666664</v>
      </c>
      <c r="I222" s="2">
        <v>45617.833333333336</v>
      </c>
      <c r="J222" s="1">
        <f t="shared" si="6"/>
        <v>5.5000000001164153</v>
      </c>
      <c r="K222" s="1">
        <v>87.272727270880026</v>
      </c>
      <c r="L222" s="1">
        <v>40</v>
      </c>
      <c r="M222" s="1">
        <v>28</v>
      </c>
      <c r="N222" s="3" t="s">
        <v>3</v>
      </c>
      <c r="O222" s="3" t="s">
        <v>1</v>
      </c>
      <c r="P222" s="8" t="s">
        <v>33</v>
      </c>
      <c r="Q222" s="2">
        <v>45617.833472222221</v>
      </c>
      <c r="R222" s="2">
        <v>45617.957291666666</v>
      </c>
      <c r="S222" s="1"/>
      <c r="T222" s="1" t="s">
        <v>87</v>
      </c>
      <c r="U222" s="1">
        <v>10888</v>
      </c>
      <c r="V222" s="1">
        <v>8380</v>
      </c>
      <c r="W222" s="1">
        <v>88</v>
      </c>
      <c r="X222" s="1">
        <v>259</v>
      </c>
      <c r="Y222" s="1">
        <v>12</v>
      </c>
    </row>
    <row r="223" spans="1:25" x14ac:dyDescent="0.25">
      <c r="A223" s="3">
        <v>213</v>
      </c>
      <c r="C223" s="7">
        <v>45618</v>
      </c>
      <c r="D223" s="3">
        <v>1703</v>
      </c>
      <c r="E223" s="1">
        <v>3239.8</v>
      </c>
      <c r="F223" s="3" t="str">
        <f t="shared" si="5"/>
        <v>Injection</v>
      </c>
      <c r="G223" s="1">
        <v>440</v>
      </c>
      <c r="H223" s="2">
        <v>45618.267361111109</v>
      </c>
      <c r="I223" s="2">
        <v>45618.479166666664</v>
      </c>
      <c r="J223" s="1">
        <f t="shared" si="6"/>
        <v>5.0833333333139308</v>
      </c>
      <c r="K223" s="1">
        <v>86.557377049510706</v>
      </c>
      <c r="L223" s="1">
        <v>40</v>
      </c>
      <c r="M223" s="1">
        <v>0</v>
      </c>
      <c r="N223" s="3" t="s">
        <v>3</v>
      </c>
      <c r="O223" s="3" t="s">
        <v>1</v>
      </c>
      <c r="P223" s="8" t="s">
        <v>34</v>
      </c>
      <c r="Q223" s="2">
        <v>45618.4921412037</v>
      </c>
      <c r="R223" s="2">
        <v>45618.531759259262</v>
      </c>
      <c r="S223" s="1"/>
      <c r="T223" s="1" t="s">
        <v>87</v>
      </c>
      <c r="U223" s="1">
        <v>1550</v>
      </c>
      <c r="V223" s="1">
        <v>1261</v>
      </c>
      <c r="W223" s="1">
        <v>13</v>
      </c>
      <c r="X223" s="1">
        <v>27</v>
      </c>
      <c r="Y223" s="1">
        <v>11</v>
      </c>
    </row>
    <row r="224" spans="1:25" x14ac:dyDescent="0.25">
      <c r="A224" s="3">
        <v>214</v>
      </c>
      <c r="C224" s="7">
        <v>45619</v>
      </c>
      <c r="D224" s="3">
        <v>1711</v>
      </c>
      <c r="E224" s="1">
        <v>3255.2</v>
      </c>
      <c r="F224" s="3" t="str">
        <f t="shared" si="5"/>
        <v>Injection</v>
      </c>
      <c r="G224" s="1">
        <v>480</v>
      </c>
      <c r="H224" s="2">
        <v>45618.833333333336</v>
      </c>
      <c r="I224" s="2">
        <v>45619.004861111112</v>
      </c>
      <c r="J224" s="1">
        <f t="shared" si="6"/>
        <v>4.1166666666395031</v>
      </c>
      <c r="K224" s="1">
        <v>116.59919028417018</v>
      </c>
      <c r="L224" s="1">
        <v>40</v>
      </c>
      <c r="M224" s="1">
        <v>1</v>
      </c>
      <c r="N224" s="3" t="s">
        <v>3</v>
      </c>
      <c r="O224" s="3" t="s">
        <v>1</v>
      </c>
      <c r="P224" s="8" t="s">
        <v>23</v>
      </c>
      <c r="Q224" s="2">
        <v>45619.013831018521</v>
      </c>
      <c r="R224" s="2">
        <v>45619.045914351853</v>
      </c>
      <c r="S224" s="1"/>
      <c r="T224" s="1" t="s">
        <v>87</v>
      </c>
      <c r="U224" s="1">
        <v>1404</v>
      </c>
      <c r="V224" s="1">
        <v>899</v>
      </c>
      <c r="W224" s="1">
        <v>11</v>
      </c>
      <c r="X224" s="1">
        <v>32</v>
      </c>
      <c r="Y224" s="1">
        <v>12</v>
      </c>
    </row>
    <row r="225" spans="1:25" x14ac:dyDescent="0.25">
      <c r="A225" s="3">
        <v>215</v>
      </c>
      <c r="C225" s="7">
        <v>45619</v>
      </c>
      <c r="D225" s="3">
        <v>1718</v>
      </c>
      <c r="E225" s="1">
        <v>3266.8</v>
      </c>
      <c r="F225" s="3" t="str">
        <f t="shared" si="5"/>
        <v>Injection</v>
      </c>
      <c r="G225" s="1">
        <v>480</v>
      </c>
      <c r="H225" s="2">
        <v>45619.295138888891</v>
      </c>
      <c r="I225" s="2">
        <v>45619.5</v>
      </c>
      <c r="J225" s="1">
        <f t="shared" si="6"/>
        <v>4.9166666666278616</v>
      </c>
      <c r="K225" s="1">
        <v>97.627118644838319</v>
      </c>
      <c r="L225" s="1">
        <v>40</v>
      </c>
      <c r="M225" s="1">
        <v>0</v>
      </c>
      <c r="N225" s="3" t="s">
        <v>3</v>
      </c>
      <c r="O225" s="3" t="s">
        <v>1</v>
      </c>
      <c r="P225" s="8" t="s">
        <v>23</v>
      </c>
      <c r="Q225" s="2">
        <v>45619.492939814816</v>
      </c>
      <c r="R225" s="2">
        <v>45619.527442129627</v>
      </c>
      <c r="S225" s="1"/>
      <c r="T225" s="1" t="s">
        <v>87</v>
      </c>
      <c r="U225" s="1">
        <v>2205</v>
      </c>
      <c r="V225" s="1">
        <v>1621.5</v>
      </c>
      <c r="W225" s="1">
        <v>16.199999999999996</v>
      </c>
      <c r="X225" s="1">
        <v>47.9</v>
      </c>
      <c r="Y225" s="1">
        <v>12</v>
      </c>
    </row>
    <row r="226" spans="1:25" x14ac:dyDescent="0.25">
      <c r="A226" s="3">
        <v>216</v>
      </c>
      <c r="C226" s="7">
        <v>45621</v>
      </c>
      <c r="D226" s="3">
        <v>1727</v>
      </c>
      <c r="E226" s="1">
        <v>3281.1</v>
      </c>
      <c r="F226" s="3" t="str">
        <f t="shared" si="5"/>
        <v>Injection</v>
      </c>
      <c r="G226" s="1">
        <v>484.5</v>
      </c>
      <c r="H226" s="2">
        <v>45621.78125</v>
      </c>
      <c r="I226" s="2">
        <v>45622.007638888892</v>
      </c>
      <c r="J226" s="1">
        <f t="shared" si="6"/>
        <v>5.433333333407063</v>
      </c>
      <c r="K226" s="1">
        <v>89.171779139894241</v>
      </c>
      <c r="L226" s="1">
        <v>40</v>
      </c>
      <c r="M226" s="1">
        <v>0.5</v>
      </c>
      <c r="N226" s="3" t="s">
        <v>3</v>
      </c>
      <c r="O226" s="3" t="s">
        <v>1</v>
      </c>
      <c r="P226" s="8" t="s">
        <v>33</v>
      </c>
      <c r="Q226" s="2">
        <v>45622.007997685185</v>
      </c>
      <c r="R226" s="2">
        <v>45622.243564814817</v>
      </c>
      <c r="S226" s="1"/>
      <c r="T226" s="1" t="s">
        <v>87</v>
      </c>
      <c r="U226" s="1">
        <v>13952</v>
      </c>
      <c r="V226" s="1">
        <v>10701</v>
      </c>
      <c r="W226" s="1">
        <v>109</v>
      </c>
      <c r="X226" s="1">
        <v>317</v>
      </c>
      <c r="Y226" s="1">
        <v>12</v>
      </c>
    </row>
    <row r="227" spans="1:25" x14ac:dyDescent="0.25">
      <c r="A227" s="3">
        <v>217</v>
      </c>
      <c r="C227" s="7">
        <v>45622</v>
      </c>
      <c r="D227" s="3">
        <v>1735</v>
      </c>
      <c r="E227" s="1">
        <v>3297.3</v>
      </c>
      <c r="F227" s="3" t="str">
        <f t="shared" si="5"/>
        <v>Injection</v>
      </c>
      <c r="G227" s="1">
        <v>483</v>
      </c>
      <c r="H227" s="2">
        <v>45622.534722222219</v>
      </c>
      <c r="I227" s="2">
        <v>45622.713888888888</v>
      </c>
      <c r="J227" s="1">
        <f t="shared" si="6"/>
        <v>4.3000000000465661</v>
      </c>
      <c r="K227" s="1">
        <v>112.32558139413243</v>
      </c>
      <c r="L227" s="1">
        <v>40</v>
      </c>
      <c r="M227" s="1">
        <v>0</v>
      </c>
      <c r="N227" s="3" t="s">
        <v>3</v>
      </c>
      <c r="O227" s="3" t="s">
        <v>1</v>
      </c>
      <c r="P227" s="8" t="s">
        <v>33</v>
      </c>
      <c r="Q227" s="2">
        <v>45622.712048611109</v>
      </c>
      <c r="R227" s="2">
        <v>45622.757048611114</v>
      </c>
      <c r="S227" s="1"/>
      <c r="T227" s="1" t="s">
        <v>87</v>
      </c>
      <c r="U227" s="1">
        <v>2212</v>
      </c>
      <c r="V227" s="1">
        <v>1621</v>
      </c>
      <c r="W227" s="1">
        <v>16</v>
      </c>
      <c r="X227" s="1">
        <v>48</v>
      </c>
      <c r="Y227" s="1">
        <v>12</v>
      </c>
    </row>
    <row r="228" spans="1:25" x14ac:dyDescent="0.25">
      <c r="A228" s="3">
        <v>218</v>
      </c>
      <c r="C228" s="7">
        <v>45623</v>
      </c>
      <c r="D228" s="3">
        <v>1743</v>
      </c>
      <c r="E228" s="1">
        <v>3311.7</v>
      </c>
      <c r="F228" s="3" t="str">
        <f t="shared" si="5"/>
        <v>Injection</v>
      </c>
      <c r="G228" s="1">
        <v>480</v>
      </c>
      <c r="H228" s="2">
        <v>45623.180555555555</v>
      </c>
      <c r="I228" s="2">
        <v>45623.415972222225</v>
      </c>
      <c r="J228" s="1">
        <f t="shared" si="6"/>
        <v>5.6500000000814907</v>
      </c>
      <c r="K228" s="1">
        <v>84.955752211164054</v>
      </c>
      <c r="L228" s="1">
        <v>40</v>
      </c>
      <c r="M228" s="1">
        <v>90</v>
      </c>
      <c r="N228" s="3" t="s">
        <v>3</v>
      </c>
      <c r="O228" s="3" t="s">
        <v>1</v>
      </c>
      <c r="P228" s="8" t="s">
        <v>10</v>
      </c>
      <c r="Q228" s="2">
        <v>45623.419988425929</v>
      </c>
      <c r="R228" s="2">
        <v>45623.586261574077</v>
      </c>
      <c r="S228" s="1"/>
      <c r="T228" s="1" t="s">
        <v>87</v>
      </c>
      <c r="U228" s="1">
        <v>12204</v>
      </c>
      <c r="V228" s="1">
        <v>9562</v>
      </c>
      <c r="W228" s="1">
        <v>96</v>
      </c>
      <c r="X228" s="1">
        <v>283</v>
      </c>
      <c r="Y228" s="1">
        <v>12</v>
      </c>
    </row>
    <row r="229" spans="1:25" x14ac:dyDescent="0.25">
      <c r="A229" s="3">
        <v>219</v>
      </c>
      <c r="C229" s="7">
        <v>45624</v>
      </c>
      <c r="D229" s="3">
        <v>1751</v>
      </c>
      <c r="E229" s="1">
        <v>3326.1</v>
      </c>
      <c r="F229" s="3" t="str">
        <f t="shared" si="5"/>
        <v>Injection</v>
      </c>
      <c r="G229" s="1">
        <v>480</v>
      </c>
      <c r="H229" s="2">
        <v>45624.193749999999</v>
      </c>
      <c r="I229" s="2">
        <v>45624.387499999997</v>
      </c>
      <c r="J229" s="1">
        <f t="shared" si="6"/>
        <v>4.6499999999650754</v>
      </c>
      <c r="K229" s="1">
        <v>103.2258064523882</v>
      </c>
      <c r="L229" s="1">
        <v>40</v>
      </c>
      <c r="M229" s="1">
        <v>15</v>
      </c>
      <c r="N229" s="3" t="s">
        <v>3</v>
      </c>
      <c r="O229" s="3" t="s">
        <v>1</v>
      </c>
      <c r="P229" s="8" t="s">
        <v>10</v>
      </c>
      <c r="Q229" s="2">
        <v>45624.400208333333</v>
      </c>
      <c r="R229" s="2">
        <v>45624.530763888892</v>
      </c>
      <c r="S229" s="1"/>
      <c r="T229" s="1" t="s">
        <v>87</v>
      </c>
      <c r="U229" s="1">
        <v>6722</v>
      </c>
      <c r="V229" s="1">
        <v>4803</v>
      </c>
      <c r="W229" s="1">
        <v>48</v>
      </c>
      <c r="X229" s="1">
        <v>142</v>
      </c>
      <c r="Y229" s="1">
        <v>12</v>
      </c>
    </row>
    <row r="230" spans="1:25" x14ac:dyDescent="0.25">
      <c r="A230" s="3">
        <v>220</v>
      </c>
      <c r="C230" s="7">
        <v>45624</v>
      </c>
      <c r="D230" s="3">
        <v>1759</v>
      </c>
      <c r="E230" s="1">
        <v>3340.5</v>
      </c>
      <c r="F230" s="3" t="str">
        <f t="shared" si="5"/>
        <v>Injection</v>
      </c>
      <c r="G230" s="1">
        <v>480</v>
      </c>
      <c r="H230" s="2">
        <v>45624.888888888891</v>
      </c>
      <c r="I230" s="2">
        <v>45625.159722222219</v>
      </c>
      <c r="J230" s="1">
        <f t="shared" si="6"/>
        <v>6.4999999998835847</v>
      </c>
      <c r="K230" s="1">
        <v>73.84615384747643</v>
      </c>
      <c r="L230" s="1">
        <v>40</v>
      </c>
      <c r="M230" s="1">
        <v>14.5</v>
      </c>
      <c r="N230" s="3" t="s">
        <v>3</v>
      </c>
      <c r="O230" s="3" t="s">
        <v>1</v>
      </c>
      <c r="P230" s="8" t="s">
        <v>33</v>
      </c>
      <c r="Q230" s="2">
        <v>45625.138807870368</v>
      </c>
      <c r="R230" s="2">
        <v>45625.242974537039</v>
      </c>
      <c r="S230" s="1"/>
      <c r="T230" s="1" t="s">
        <v>87</v>
      </c>
      <c r="U230" s="1">
        <v>4695</v>
      </c>
      <c r="V230" s="1">
        <v>3484</v>
      </c>
      <c r="W230" s="1">
        <v>39</v>
      </c>
      <c r="X230" s="1">
        <v>114</v>
      </c>
      <c r="Y230" s="1">
        <v>12</v>
      </c>
    </row>
    <row r="231" spans="1:25" x14ac:dyDescent="0.25">
      <c r="A231" s="3">
        <v>221</v>
      </c>
      <c r="C231" s="7">
        <v>45625</v>
      </c>
      <c r="D231" s="3">
        <v>1767</v>
      </c>
      <c r="E231" s="1">
        <v>3355</v>
      </c>
      <c r="F231" s="3" t="str">
        <f t="shared" si="5"/>
        <v>Injection</v>
      </c>
      <c r="G231" s="1">
        <v>474.45</v>
      </c>
      <c r="H231" s="2">
        <v>45625.67083333333</v>
      </c>
      <c r="I231" s="2">
        <v>45625.813888888886</v>
      </c>
      <c r="J231" s="1">
        <f t="shared" si="6"/>
        <v>3.4333333333488554</v>
      </c>
      <c r="K231" s="1">
        <v>138.18932038772476</v>
      </c>
      <c r="L231" s="1">
        <v>40</v>
      </c>
      <c r="M231" s="1">
        <v>17</v>
      </c>
      <c r="N231" s="3" t="s">
        <v>3</v>
      </c>
      <c r="O231" s="3" t="s">
        <v>1</v>
      </c>
      <c r="P231" s="8" t="s">
        <v>8</v>
      </c>
      <c r="Q231" s="2">
        <v>45625.845879629633</v>
      </c>
      <c r="R231" s="2">
        <v>45626.052349537036</v>
      </c>
      <c r="S231" s="1"/>
      <c r="T231" s="1" t="s">
        <v>87</v>
      </c>
      <c r="U231" s="1">
        <v>14909</v>
      </c>
      <c r="V231" s="1">
        <v>11225</v>
      </c>
      <c r="W231" s="1">
        <v>115</v>
      </c>
      <c r="X231" s="1">
        <v>313</v>
      </c>
      <c r="Y231" s="1">
        <v>12</v>
      </c>
    </row>
    <row r="232" spans="1:25" x14ac:dyDescent="0.25">
      <c r="A232" s="3">
        <v>222</v>
      </c>
      <c r="C232" s="7">
        <v>45626</v>
      </c>
      <c r="D232" s="3">
        <v>1775</v>
      </c>
      <c r="E232" s="1">
        <v>3370</v>
      </c>
      <c r="F232" s="3" t="str">
        <f t="shared" si="5"/>
        <v>Injection</v>
      </c>
      <c r="G232" s="1">
        <v>484</v>
      </c>
      <c r="H232" s="2">
        <v>45626.725694444445</v>
      </c>
      <c r="I232" s="2">
        <v>45626.92291666667</v>
      </c>
      <c r="J232" s="1">
        <f t="shared" si="6"/>
        <v>4.7333333333954215</v>
      </c>
      <c r="K232" s="1">
        <v>102.25352112541928</v>
      </c>
      <c r="L232" s="1">
        <v>40</v>
      </c>
      <c r="M232" s="1">
        <v>77</v>
      </c>
      <c r="N232" s="3" t="s">
        <v>3</v>
      </c>
      <c r="O232" s="3" t="s">
        <v>1</v>
      </c>
      <c r="P232" s="8" t="s">
        <v>8</v>
      </c>
      <c r="Q232" s="2">
        <v>45626.902905092589</v>
      </c>
      <c r="R232" s="2">
        <v>45627.094733796293</v>
      </c>
      <c r="S232" s="1"/>
      <c r="T232" s="1" t="s">
        <v>87</v>
      </c>
      <c r="U232" s="1">
        <v>15259</v>
      </c>
      <c r="V232" s="1">
        <v>11299.3</v>
      </c>
      <c r="W232" s="1">
        <v>114</v>
      </c>
      <c r="X232" s="1">
        <v>306.10000000000008</v>
      </c>
      <c r="Y232" s="1">
        <v>12</v>
      </c>
    </row>
    <row r="233" spans="1:25" x14ac:dyDescent="0.25">
      <c r="A233" s="3">
        <v>223</v>
      </c>
      <c r="C233" s="7">
        <v>45628</v>
      </c>
      <c r="D233" s="3">
        <v>1783</v>
      </c>
      <c r="E233" s="1">
        <v>3384</v>
      </c>
      <c r="F233" s="3" t="str">
        <f t="shared" si="5"/>
        <v>Injection</v>
      </c>
      <c r="G233" s="1">
        <v>468</v>
      </c>
      <c r="H233" s="2">
        <v>45628.90625</v>
      </c>
      <c r="I233" s="2">
        <v>45629.236111111109</v>
      </c>
      <c r="J233" s="1">
        <f t="shared" si="6"/>
        <v>7.9166666666278616</v>
      </c>
      <c r="K233" s="1">
        <v>59.115789473973976</v>
      </c>
      <c r="L233" s="1">
        <v>40</v>
      </c>
      <c r="M233" s="1">
        <v>68</v>
      </c>
      <c r="N233" s="3" t="s">
        <v>3</v>
      </c>
      <c r="O233" s="3" t="s">
        <v>1</v>
      </c>
      <c r="P233" s="8" t="s">
        <v>7</v>
      </c>
      <c r="Q233" s="2">
        <v>45629.21875</v>
      </c>
      <c r="R233" s="2">
        <v>45629.515393518515</v>
      </c>
      <c r="S233" s="1"/>
      <c r="T233" s="1" t="s">
        <v>87</v>
      </c>
      <c r="U233" s="1">
        <v>17641</v>
      </c>
      <c r="V233" s="1">
        <v>13833.900000000001</v>
      </c>
      <c r="W233" s="1">
        <v>140.6</v>
      </c>
      <c r="X233" s="1">
        <v>376.09999999999985</v>
      </c>
      <c r="Y233" s="1">
        <v>12</v>
      </c>
    </row>
    <row r="234" spans="1:25" x14ac:dyDescent="0.25">
      <c r="A234" s="3">
        <v>224</v>
      </c>
      <c r="C234" s="7">
        <v>45629</v>
      </c>
      <c r="D234" s="3">
        <v>1791</v>
      </c>
      <c r="E234" s="1">
        <v>3398.4</v>
      </c>
      <c r="F234" s="3" t="str">
        <f t="shared" si="5"/>
        <v>Injection</v>
      </c>
      <c r="G234" s="1">
        <v>443.5</v>
      </c>
      <c r="H234" s="2">
        <v>45629.763888888891</v>
      </c>
      <c r="I234" s="2">
        <v>45629.987766203703</v>
      </c>
      <c r="J234" s="1">
        <f t="shared" si="6"/>
        <v>5.373055555508472</v>
      </c>
      <c r="K234" s="1">
        <v>82.54148787747458</v>
      </c>
      <c r="L234" s="1">
        <v>40</v>
      </c>
      <c r="M234" s="1">
        <v>113</v>
      </c>
      <c r="N234" s="3" t="s">
        <v>3</v>
      </c>
      <c r="O234" s="3" t="s">
        <v>1</v>
      </c>
      <c r="P234" s="8" t="s">
        <v>7</v>
      </c>
      <c r="Q234" s="2">
        <v>45630.925011574072</v>
      </c>
      <c r="R234" s="2">
        <v>45631.497766203705</v>
      </c>
      <c r="S234" s="1"/>
      <c r="T234" s="1" t="s">
        <v>87</v>
      </c>
      <c r="U234" s="1">
        <v>28440</v>
      </c>
      <c r="V234" s="1">
        <v>21229.699999999997</v>
      </c>
      <c r="W234" s="1">
        <v>227.19999999999993</v>
      </c>
      <c r="X234" s="1">
        <v>455.20000000000005</v>
      </c>
      <c r="Y234" s="1">
        <v>12</v>
      </c>
    </row>
    <row r="235" spans="1:25" x14ac:dyDescent="0.25">
      <c r="A235" s="3">
        <v>225</v>
      </c>
      <c r="C235" s="7">
        <v>45631</v>
      </c>
      <c r="D235" s="3">
        <v>1795</v>
      </c>
      <c r="E235" s="1">
        <v>3405.2</v>
      </c>
      <c r="F235" s="3" t="str">
        <f t="shared" si="5"/>
        <v>Injection</v>
      </c>
      <c r="G235" s="1">
        <v>480</v>
      </c>
      <c r="H235" s="2">
        <v>45631.670138888891</v>
      </c>
      <c r="I235" s="2">
        <v>45631.958333333336</v>
      </c>
      <c r="J235" s="1">
        <f t="shared" si="6"/>
        <v>6.9166666666860692</v>
      </c>
      <c r="K235" s="1">
        <v>69.397590361251105</v>
      </c>
      <c r="L235" s="1">
        <v>40</v>
      </c>
      <c r="M235" s="1">
        <v>19</v>
      </c>
      <c r="N235" s="3" t="s">
        <v>3</v>
      </c>
      <c r="O235" s="3" t="s">
        <v>1</v>
      </c>
      <c r="P235" s="8" t="s">
        <v>7</v>
      </c>
      <c r="Q235" s="2">
        <v>45631.951701388891</v>
      </c>
      <c r="R235" s="2">
        <v>45632.073055555556</v>
      </c>
      <c r="S235" s="1"/>
      <c r="T235" s="1" t="s">
        <v>87</v>
      </c>
      <c r="U235" s="1">
        <v>8753</v>
      </c>
      <c r="V235" s="1">
        <v>6666</v>
      </c>
      <c r="W235" s="1">
        <v>69.5</v>
      </c>
      <c r="X235" s="1">
        <v>143</v>
      </c>
      <c r="Y235" s="1">
        <v>12</v>
      </c>
    </row>
    <row r="236" spans="1:25" x14ac:dyDescent="0.25">
      <c r="A236" s="3">
        <v>226</v>
      </c>
      <c r="C236" s="7">
        <v>45632</v>
      </c>
      <c r="D236" s="3">
        <v>1809</v>
      </c>
      <c r="E236" s="1">
        <v>3430.4</v>
      </c>
      <c r="F236" s="3" t="str">
        <f t="shared" si="5"/>
        <v>Injection</v>
      </c>
      <c r="G236" s="1">
        <v>480</v>
      </c>
      <c r="H236" s="2">
        <v>45632.629166666666</v>
      </c>
      <c r="I236" s="2">
        <v>45632.826388888891</v>
      </c>
      <c r="J236" s="1">
        <f t="shared" si="6"/>
        <v>4.7333333333954215</v>
      </c>
      <c r="K236" s="1">
        <v>101.40845070289515</v>
      </c>
      <c r="L236" s="1">
        <v>40</v>
      </c>
      <c r="M236" s="1">
        <v>35</v>
      </c>
      <c r="N236" s="3" t="s">
        <v>3</v>
      </c>
      <c r="O236" s="3" t="s">
        <v>1</v>
      </c>
      <c r="P236" s="8" t="s">
        <v>7</v>
      </c>
      <c r="Q236" s="2">
        <v>45632.830127314817</v>
      </c>
      <c r="R236" s="2">
        <v>45632.918576388889</v>
      </c>
      <c r="S236" s="1"/>
      <c r="T236" s="1" t="s">
        <v>87</v>
      </c>
      <c r="U236" s="1">
        <v>6488</v>
      </c>
      <c r="V236" s="1">
        <v>4802</v>
      </c>
      <c r="W236" s="1">
        <v>52.000000000000007</v>
      </c>
      <c r="X236" s="1">
        <v>108.6</v>
      </c>
      <c r="Y236" s="1">
        <v>12</v>
      </c>
    </row>
    <row r="237" spans="1:25" x14ac:dyDescent="0.25">
      <c r="A237" s="3">
        <v>227</v>
      </c>
      <c r="C237" s="7">
        <v>45633</v>
      </c>
      <c r="D237" s="3">
        <v>1823</v>
      </c>
      <c r="E237" s="1">
        <v>3455.6</v>
      </c>
      <c r="F237" s="3" t="str">
        <f t="shared" si="5"/>
        <v>Injection</v>
      </c>
      <c r="G237" s="1">
        <v>480</v>
      </c>
      <c r="H237" s="2">
        <v>45633.456944444442</v>
      </c>
      <c r="I237" s="2">
        <v>45633.628472222219</v>
      </c>
      <c r="J237" s="1">
        <f t="shared" si="6"/>
        <v>4.1166666666395031</v>
      </c>
      <c r="K237" s="1">
        <v>116.59919028417018</v>
      </c>
      <c r="L237" s="1">
        <v>40</v>
      </c>
      <c r="M237" s="1">
        <v>19</v>
      </c>
      <c r="N237" s="3" t="s">
        <v>3</v>
      </c>
      <c r="O237" s="3" t="s">
        <v>1</v>
      </c>
      <c r="P237" s="8" t="s">
        <v>7</v>
      </c>
      <c r="Q237" s="2">
        <v>45633.633437500001</v>
      </c>
      <c r="R237" s="2">
        <v>45633.685694444444</v>
      </c>
      <c r="S237" s="1"/>
      <c r="T237" s="1" t="s">
        <v>87</v>
      </c>
      <c r="U237" s="1">
        <v>2983</v>
      </c>
      <c r="V237" s="1">
        <v>2772</v>
      </c>
      <c r="W237" s="1">
        <v>32.200000000000003</v>
      </c>
      <c r="X237" s="1">
        <v>71.700000000000017</v>
      </c>
      <c r="Y237" s="1">
        <v>12</v>
      </c>
    </row>
    <row r="238" spans="1:25" x14ac:dyDescent="0.25">
      <c r="A238" s="3">
        <v>228</v>
      </c>
      <c r="C238" s="7">
        <v>45635</v>
      </c>
      <c r="D238" s="3">
        <v>1837</v>
      </c>
      <c r="E238" s="1">
        <v>3480.8</v>
      </c>
      <c r="F238" s="3" t="str">
        <f t="shared" si="5"/>
        <v>Injection</v>
      </c>
      <c r="G238" s="1">
        <v>391.2</v>
      </c>
      <c r="H238" s="2">
        <v>45635.593055555553</v>
      </c>
      <c r="I238" s="2">
        <v>45635.753472222219</v>
      </c>
      <c r="J238" s="1">
        <f t="shared" si="6"/>
        <v>3.8499999999767169</v>
      </c>
      <c r="K238" s="1">
        <v>101.61038961100409</v>
      </c>
      <c r="L238" s="1">
        <v>32.6</v>
      </c>
      <c r="M238" s="1">
        <v>9</v>
      </c>
      <c r="N238" s="3" t="s">
        <v>3</v>
      </c>
      <c r="O238" s="3" t="s">
        <v>1</v>
      </c>
      <c r="P238" s="8" t="s">
        <v>7</v>
      </c>
      <c r="Q238" s="2">
        <v>45635.772083333337</v>
      </c>
      <c r="R238" s="2">
        <v>45635.806990740741</v>
      </c>
      <c r="S238" s="1"/>
      <c r="T238" s="1" t="s">
        <v>87</v>
      </c>
      <c r="U238" s="1">
        <v>1500</v>
      </c>
      <c r="V238" s="1">
        <v>1257.5999999999997</v>
      </c>
      <c r="W238" s="1">
        <v>12.7</v>
      </c>
      <c r="X238" s="1">
        <v>37.29999999999999</v>
      </c>
      <c r="Y238" s="1">
        <v>12</v>
      </c>
    </row>
    <row r="239" spans="1:25" x14ac:dyDescent="0.25">
      <c r="A239" s="3">
        <v>229</v>
      </c>
      <c r="C239" s="7">
        <v>45636</v>
      </c>
      <c r="D239" s="3">
        <v>1847</v>
      </c>
      <c r="E239" s="1">
        <v>3498.8</v>
      </c>
      <c r="F239" s="3" t="str">
        <f t="shared" si="5"/>
        <v>Injection</v>
      </c>
      <c r="G239" s="1">
        <v>391.2</v>
      </c>
      <c r="H239" s="2">
        <v>45636.291666666664</v>
      </c>
      <c r="I239" s="2">
        <v>45636.440972222219</v>
      </c>
      <c r="J239" s="1">
        <f t="shared" si="6"/>
        <v>3.5833333333139308</v>
      </c>
      <c r="K239" s="1">
        <v>109.17209302384694</v>
      </c>
      <c r="L239" s="1">
        <v>32.6</v>
      </c>
      <c r="M239" s="1">
        <v>1</v>
      </c>
      <c r="N239" s="3" t="s">
        <v>5</v>
      </c>
      <c r="O239" s="3" t="s">
        <v>1</v>
      </c>
      <c r="P239" s="8" t="s">
        <v>35</v>
      </c>
      <c r="Q239" s="2">
        <v>45636.448842592596</v>
      </c>
      <c r="R239" s="2">
        <v>45636.516087962962</v>
      </c>
      <c r="S239" s="1"/>
      <c r="T239" s="1" t="s">
        <v>87</v>
      </c>
      <c r="U239" s="1">
        <v>2753</v>
      </c>
      <c r="V239" s="1">
        <v>2975.2</v>
      </c>
      <c r="W239" s="1">
        <v>30.799999999999997</v>
      </c>
      <c r="X239" s="1">
        <v>90.8</v>
      </c>
      <c r="Y239" s="1">
        <v>12</v>
      </c>
    </row>
    <row r="240" spans="1:25" x14ac:dyDescent="0.25">
      <c r="A240" s="3">
        <v>230</v>
      </c>
      <c r="C240" s="7">
        <v>45637</v>
      </c>
      <c r="D240" s="3">
        <v>1856</v>
      </c>
      <c r="E240" s="1">
        <v>3517</v>
      </c>
      <c r="F240" s="3" t="str">
        <f t="shared" si="5"/>
        <v>Injection</v>
      </c>
      <c r="G240" s="1">
        <v>412.8</v>
      </c>
      <c r="H240" s="2">
        <v>45636.852083333331</v>
      </c>
      <c r="I240" s="2">
        <v>45637.036111111112</v>
      </c>
      <c r="J240" s="1">
        <f t="shared" si="6"/>
        <v>4.4166666667442769</v>
      </c>
      <c r="K240" s="1">
        <v>93.464150941753871</v>
      </c>
      <c r="L240" s="1">
        <v>32.6</v>
      </c>
      <c r="M240" s="1">
        <v>0</v>
      </c>
      <c r="N240" s="3" t="s">
        <v>3</v>
      </c>
      <c r="O240" s="3" t="s">
        <v>1</v>
      </c>
      <c r="P240" s="8" t="s">
        <v>29</v>
      </c>
      <c r="Q240" s="2">
        <v>45637.047743055555</v>
      </c>
      <c r="R240" s="2">
        <v>45637.081770833334</v>
      </c>
      <c r="S240" s="1"/>
      <c r="T240" s="1" t="s">
        <v>87</v>
      </c>
      <c r="U240" s="1">
        <v>501</v>
      </c>
      <c r="V240" s="1">
        <v>540.70000000000005</v>
      </c>
      <c r="W240" s="1">
        <v>7.3000000000000007</v>
      </c>
      <c r="X240" s="1">
        <v>16</v>
      </c>
      <c r="Y240" s="1">
        <v>12</v>
      </c>
    </row>
    <row r="241" spans="1:25" x14ac:dyDescent="0.25">
      <c r="A241" s="3">
        <v>231</v>
      </c>
      <c r="C241" s="7">
        <v>45638</v>
      </c>
      <c r="D241" s="3">
        <v>1867</v>
      </c>
      <c r="E241" s="1">
        <v>3535.7</v>
      </c>
      <c r="F241" s="3" t="str">
        <f t="shared" si="5"/>
        <v>Injection</v>
      </c>
      <c r="G241" s="1">
        <v>321.39999999999998</v>
      </c>
      <c r="H241" s="2">
        <v>45637.947916666664</v>
      </c>
      <c r="I241" s="2">
        <v>45638.083333333336</v>
      </c>
      <c r="J241" s="1">
        <f t="shared" si="6"/>
        <v>3.2500000001164153</v>
      </c>
      <c r="K241" s="1">
        <v>98.892307688765356</v>
      </c>
      <c r="L241" s="1">
        <v>32.6</v>
      </c>
      <c r="M241" s="1">
        <v>0</v>
      </c>
      <c r="N241" s="3" t="s">
        <v>3</v>
      </c>
      <c r="O241" s="3" t="s">
        <v>1</v>
      </c>
      <c r="P241" s="8" t="s">
        <v>29</v>
      </c>
      <c r="Q241" s="2">
        <v>45638.097928240742</v>
      </c>
      <c r="R241" s="2">
        <v>45638.122546296298</v>
      </c>
      <c r="S241" s="1"/>
      <c r="T241" s="1" t="s">
        <v>87</v>
      </c>
      <c r="U241" s="1">
        <v>896</v>
      </c>
      <c r="V241" s="1">
        <v>720.50000000000011</v>
      </c>
      <c r="W241" s="1">
        <v>7.1999999999999993</v>
      </c>
      <c r="X241" s="1">
        <v>21.199999999999992</v>
      </c>
      <c r="Y241" s="1">
        <v>12</v>
      </c>
    </row>
    <row r="242" spans="1:25" x14ac:dyDescent="0.25">
      <c r="A242" s="3">
        <v>232</v>
      </c>
      <c r="C242" s="7">
        <v>45639</v>
      </c>
      <c r="D242" s="3">
        <v>1877</v>
      </c>
      <c r="E242" s="1">
        <v>3553</v>
      </c>
      <c r="F242" s="3" t="str">
        <f t="shared" si="5"/>
        <v>Injection</v>
      </c>
      <c r="G242" s="1">
        <v>391.1</v>
      </c>
      <c r="H242" s="2">
        <v>45638.555555555555</v>
      </c>
      <c r="I242" s="2">
        <v>45638.677777777775</v>
      </c>
      <c r="J242" s="1">
        <f t="shared" si="6"/>
        <v>2.9333333332906477</v>
      </c>
      <c r="K242" s="1">
        <v>133.32954545648568</v>
      </c>
      <c r="L242" s="1">
        <v>32.6</v>
      </c>
      <c r="M242" s="1">
        <v>1</v>
      </c>
      <c r="N242" s="3" t="s">
        <v>3</v>
      </c>
      <c r="O242" s="3" t="s">
        <v>1</v>
      </c>
      <c r="P242" s="8" t="s">
        <v>29</v>
      </c>
      <c r="Q242" s="2">
        <v>45638.689976851849</v>
      </c>
      <c r="R242" s="2">
        <v>45638.73704861111</v>
      </c>
      <c r="S242" s="1"/>
      <c r="T242" s="1" t="s">
        <v>87</v>
      </c>
      <c r="U242" s="1">
        <v>2091</v>
      </c>
      <c r="V242" s="1">
        <v>1802</v>
      </c>
      <c r="W242" s="1">
        <v>18</v>
      </c>
      <c r="X242" s="1">
        <v>53</v>
      </c>
      <c r="Y242" s="1">
        <v>12</v>
      </c>
    </row>
    <row r="243" spans="1:25" x14ac:dyDescent="0.25">
      <c r="A243" s="3">
        <v>233</v>
      </c>
      <c r="C243" s="7">
        <v>45639</v>
      </c>
      <c r="D243" s="3">
        <v>1887</v>
      </c>
      <c r="E243" s="1">
        <v>3570.56</v>
      </c>
      <c r="F243" s="3" t="str">
        <f t="shared" si="5"/>
        <v>Injection</v>
      </c>
      <c r="G243" s="1">
        <v>391.2</v>
      </c>
      <c r="H243" s="2">
        <v>45639.090277777781</v>
      </c>
      <c r="I243" s="2">
        <v>45639.211805555555</v>
      </c>
      <c r="J243" s="1">
        <f t="shared" si="6"/>
        <v>2.9166666665696539</v>
      </c>
      <c r="K243" s="1">
        <v>134.12571429017549</v>
      </c>
      <c r="L243" s="1">
        <v>32.6</v>
      </c>
      <c r="M243" s="1">
        <v>45</v>
      </c>
      <c r="N243" s="3" t="s">
        <v>3</v>
      </c>
      <c r="O243" s="3" t="s">
        <v>1</v>
      </c>
      <c r="P243" s="8" t="s">
        <v>29</v>
      </c>
      <c r="Q243" s="2">
        <v>45639.210381944446</v>
      </c>
      <c r="R243" s="2">
        <v>45639.350428240738</v>
      </c>
      <c r="S243" s="1"/>
      <c r="T243" s="1" t="s">
        <v>87</v>
      </c>
      <c r="U243" s="1">
        <v>9284</v>
      </c>
      <c r="V243" s="1">
        <v>6901.9</v>
      </c>
      <c r="W243" s="1">
        <v>71.000000000000014</v>
      </c>
      <c r="X243" s="1">
        <v>209.9</v>
      </c>
      <c r="Y243" s="1">
        <v>12</v>
      </c>
    </row>
    <row r="244" spans="1:25" x14ac:dyDescent="0.25">
      <c r="A244" s="3">
        <v>234</v>
      </c>
      <c r="C244" s="7">
        <v>45639</v>
      </c>
      <c r="D244" s="3">
        <v>1895</v>
      </c>
      <c r="E244" s="1">
        <v>3585.74</v>
      </c>
      <c r="F244" s="3" t="str">
        <f t="shared" si="5"/>
        <v>Injection</v>
      </c>
      <c r="G244" s="1">
        <v>371</v>
      </c>
      <c r="H244" s="2">
        <v>45639.649305555555</v>
      </c>
      <c r="I244" s="2">
        <v>45639.854166666664</v>
      </c>
      <c r="J244" s="1">
        <f t="shared" si="6"/>
        <v>4.9166666666278616</v>
      </c>
      <c r="K244" s="1">
        <v>75.457627119239618</v>
      </c>
      <c r="L244" s="1">
        <v>32.6</v>
      </c>
      <c r="M244" s="1">
        <v>87</v>
      </c>
      <c r="N244" s="3" t="s">
        <v>3</v>
      </c>
      <c r="O244" s="3" t="s">
        <v>1</v>
      </c>
      <c r="P244" s="8" t="s">
        <v>29</v>
      </c>
      <c r="Q244" s="2">
        <v>45639.865937499999</v>
      </c>
      <c r="R244" s="2">
        <v>45640.134259259263</v>
      </c>
      <c r="S244" s="1"/>
      <c r="T244" s="1" t="s">
        <v>87</v>
      </c>
      <c r="U244" s="1">
        <v>20215</v>
      </c>
      <c r="V244" s="1">
        <v>14641.5</v>
      </c>
      <c r="W244" s="1">
        <v>150.30000000000004</v>
      </c>
      <c r="X244" s="1">
        <v>437.60000000000008</v>
      </c>
      <c r="Y244" s="1">
        <v>13</v>
      </c>
    </row>
    <row r="245" spans="1:25" x14ac:dyDescent="0.25">
      <c r="A245" s="3">
        <v>235</v>
      </c>
      <c r="C245" s="7">
        <v>45640</v>
      </c>
      <c r="D245" s="3">
        <v>1897</v>
      </c>
      <c r="E245" s="1">
        <v>3588.64</v>
      </c>
      <c r="F245" s="3" t="str">
        <f t="shared" si="5"/>
        <v>Injection</v>
      </c>
      <c r="G245" s="1">
        <f>6*27</f>
        <v>162</v>
      </c>
      <c r="H245" s="2">
        <v>45640.20208333333</v>
      </c>
      <c r="I245" s="2">
        <v>45640.291666666664</v>
      </c>
      <c r="J245" s="1">
        <f t="shared" si="6"/>
        <v>2.1500000000232831</v>
      </c>
      <c r="K245" s="1">
        <v>75.348837208486344</v>
      </c>
      <c r="L245" s="1">
        <v>27</v>
      </c>
      <c r="M245" s="1" t="s">
        <v>1</v>
      </c>
      <c r="N245" s="3" t="s">
        <v>3</v>
      </c>
      <c r="O245" s="3" t="s">
        <v>1</v>
      </c>
      <c r="P245" s="8" t="s">
        <v>29</v>
      </c>
      <c r="Q245" s="2">
        <v>45640.289976851855</v>
      </c>
      <c r="R245" s="2">
        <v>45640.331805555557</v>
      </c>
      <c r="S245" s="1"/>
      <c r="T245" s="1" t="s">
        <v>87</v>
      </c>
      <c r="U245" s="1">
        <v>2597</v>
      </c>
      <c r="V245" s="1">
        <v>2341</v>
      </c>
      <c r="W245" s="1">
        <v>25.4</v>
      </c>
      <c r="X245" s="1">
        <v>75.099999999999994</v>
      </c>
      <c r="Y245" s="1">
        <v>6</v>
      </c>
    </row>
    <row r="246" spans="1:25" x14ac:dyDescent="0.25">
      <c r="A246" s="3">
        <v>236</v>
      </c>
      <c r="C246" s="7">
        <v>45640</v>
      </c>
      <c r="D246" s="3">
        <v>1905</v>
      </c>
      <c r="E246" s="1">
        <v>3604</v>
      </c>
      <c r="F246" s="3" t="str">
        <f t="shared" si="5"/>
        <v>Injection</v>
      </c>
      <c r="G246" s="1">
        <f>5*32</f>
        <v>160</v>
      </c>
      <c r="H246" s="2">
        <v>45640.9375</v>
      </c>
      <c r="I246" s="2">
        <v>45641.069444444445</v>
      </c>
      <c r="J246" s="1">
        <f t="shared" si="6"/>
        <v>3.1666666666860692</v>
      </c>
      <c r="K246" s="1">
        <v>50.526315789164101</v>
      </c>
      <c r="L246" s="1">
        <v>32.6</v>
      </c>
      <c r="M246" s="1">
        <v>0</v>
      </c>
      <c r="N246" s="3" t="s">
        <v>3</v>
      </c>
      <c r="O246" s="3" t="s">
        <v>1</v>
      </c>
      <c r="P246" s="8" t="s">
        <v>29</v>
      </c>
      <c r="Q246" s="2">
        <v>45642.317407407405</v>
      </c>
      <c r="R246" s="2">
        <v>45642.376435185186</v>
      </c>
      <c r="S246" s="1"/>
      <c r="T246" s="1" t="s">
        <v>87</v>
      </c>
      <c r="U246" s="1">
        <v>661</v>
      </c>
      <c r="V246" s="1">
        <v>540.9</v>
      </c>
      <c r="W246" s="1">
        <v>5.4</v>
      </c>
      <c r="X246" s="1">
        <v>15.900000000000002</v>
      </c>
      <c r="Y246" s="1">
        <v>3</v>
      </c>
    </row>
    <row r="247" spans="1:25" x14ac:dyDescent="0.25">
      <c r="A247" s="3">
        <v>237</v>
      </c>
      <c r="C247" s="7">
        <v>45642</v>
      </c>
      <c r="D247" s="3">
        <v>1908</v>
      </c>
      <c r="E247" s="1">
        <v>3608.7</v>
      </c>
      <c r="F247" s="3" t="str">
        <f t="shared" si="5"/>
        <v>Injection</v>
      </c>
      <c r="G247" s="1">
        <v>391.2</v>
      </c>
      <c r="H247" s="2">
        <v>45642.729166666664</v>
      </c>
      <c r="I247" s="2">
        <v>45643.024305555555</v>
      </c>
      <c r="J247" s="1">
        <f t="shared" si="6"/>
        <v>7.0833333333721384</v>
      </c>
      <c r="K247" s="1">
        <v>55.228235293815082</v>
      </c>
      <c r="L247" s="1">
        <v>32.6</v>
      </c>
      <c r="M247" s="1">
        <v>11</v>
      </c>
      <c r="N247" s="3" t="s">
        <v>3</v>
      </c>
      <c r="O247" s="3" t="s">
        <v>1</v>
      </c>
      <c r="P247" s="8" t="s">
        <v>29</v>
      </c>
      <c r="Q247" s="2">
        <v>45643.059861111113</v>
      </c>
      <c r="R247" s="2">
        <v>45643.088310185187</v>
      </c>
      <c r="S247" s="1"/>
      <c r="T247" s="1" t="s">
        <v>87</v>
      </c>
      <c r="U247" s="1">
        <v>1047</v>
      </c>
      <c r="V247" s="1">
        <v>541.29999999999995</v>
      </c>
      <c r="W247" s="1">
        <v>5.4</v>
      </c>
      <c r="X247" s="1">
        <v>16.099999999999998</v>
      </c>
      <c r="Y247" s="1">
        <v>12</v>
      </c>
    </row>
    <row r="248" spans="1:25" x14ac:dyDescent="0.25">
      <c r="A248" s="3">
        <v>238</v>
      </c>
      <c r="C248" s="7">
        <v>45643</v>
      </c>
      <c r="D248" s="3">
        <v>1917</v>
      </c>
      <c r="E248" s="1">
        <v>3625.1</v>
      </c>
      <c r="F248" s="3" t="str">
        <f t="shared" si="5"/>
        <v>Injection</v>
      </c>
      <c r="G248" s="1">
        <v>391.2</v>
      </c>
      <c r="H248" s="2">
        <v>45643.443055555559</v>
      </c>
      <c r="I248" s="2">
        <v>45643.666666666664</v>
      </c>
      <c r="J248" s="1">
        <f t="shared" si="6"/>
        <v>5.3666666665230878</v>
      </c>
      <c r="K248" s="1">
        <v>72.894409939838397</v>
      </c>
      <c r="L248" s="1">
        <v>32.6</v>
      </c>
      <c r="M248" s="1">
        <v>50.5</v>
      </c>
      <c r="N248" s="3" t="s">
        <v>3</v>
      </c>
      <c r="O248" s="3" t="s">
        <v>1</v>
      </c>
      <c r="P248" s="8" t="s">
        <v>29</v>
      </c>
      <c r="Q248" s="2">
        <v>45643.644687499997</v>
      </c>
      <c r="R248" s="2">
        <v>45643.898229166669</v>
      </c>
      <c r="S248" s="1"/>
      <c r="T248" s="1" t="s">
        <v>87</v>
      </c>
      <c r="U248" s="1">
        <v>19004</v>
      </c>
      <c r="V248" s="1">
        <v>14122.2</v>
      </c>
      <c r="W248" s="1">
        <v>149.30000000000001</v>
      </c>
      <c r="X248" s="1">
        <v>439.39999999999986</v>
      </c>
      <c r="Y248" s="1">
        <v>12</v>
      </c>
    </row>
    <row r="249" spans="1:25" x14ac:dyDescent="0.25">
      <c r="A249" s="3">
        <v>239</v>
      </c>
      <c r="C249" s="7">
        <v>45644</v>
      </c>
      <c r="D249" s="3">
        <v>1927</v>
      </c>
      <c r="E249" s="1">
        <v>3643</v>
      </c>
      <c r="F249" s="3" t="str">
        <f t="shared" si="5"/>
        <v>Injection</v>
      </c>
      <c r="G249" s="1">
        <v>403.2</v>
      </c>
      <c r="H249" s="2">
        <v>45644.208333333336</v>
      </c>
      <c r="I249" s="2">
        <v>45644.42291666667</v>
      </c>
      <c r="J249" s="1">
        <f t="shared" si="6"/>
        <v>5.1500000000232831</v>
      </c>
      <c r="K249" s="1">
        <v>78.291262135568374</v>
      </c>
      <c r="L249" s="1">
        <v>32.6</v>
      </c>
      <c r="M249" s="1">
        <v>26</v>
      </c>
      <c r="N249" s="3" t="s">
        <v>3</v>
      </c>
      <c r="O249" s="3" t="s">
        <v>1</v>
      </c>
      <c r="P249" s="8" t="s">
        <v>29</v>
      </c>
      <c r="Q249" s="2">
        <v>45644.418217592596</v>
      </c>
      <c r="R249" s="2">
        <v>45644.818391203706</v>
      </c>
      <c r="S249" s="1"/>
      <c r="T249" s="1" t="s">
        <v>87</v>
      </c>
      <c r="U249" s="1">
        <v>38241</v>
      </c>
      <c r="V249" s="1">
        <v>30414.300000000007</v>
      </c>
      <c r="W249" s="1">
        <v>316.89999999999998</v>
      </c>
      <c r="X249" s="1">
        <v>914.29999999999973</v>
      </c>
      <c r="Y249" s="1">
        <v>12</v>
      </c>
    </row>
    <row r="250" spans="1:25" x14ac:dyDescent="0.25">
      <c r="A250" s="3">
        <v>240</v>
      </c>
      <c r="C250" s="7">
        <v>45645</v>
      </c>
      <c r="D250" s="3">
        <v>1935</v>
      </c>
      <c r="E250" s="1">
        <v>3657.2</v>
      </c>
      <c r="F250" s="3" t="str">
        <f t="shared" ref="F250:F278" si="7">F249</f>
        <v>Injection</v>
      </c>
      <c r="G250" s="1">
        <v>586.79999999999995</v>
      </c>
      <c r="H250" s="2">
        <v>45645.243055555555</v>
      </c>
      <c r="I250" s="2">
        <v>45645.576388888891</v>
      </c>
      <c r="J250" s="1">
        <f t="shared" si="6"/>
        <v>8.0000000000582077</v>
      </c>
      <c r="K250" s="1">
        <v>73.349999999466306</v>
      </c>
      <c r="L250" s="1">
        <v>32.6</v>
      </c>
      <c r="M250" s="1">
        <v>33</v>
      </c>
      <c r="N250" s="3" t="s">
        <v>3</v>
      </c>
      <c r="O250" s="3" t="s">
        <v>1</v>
      </c>
      <c r="P250" s="8" t="s">
        <v>29</v>
      </c>
      <c r="Q250" s="2">
        <v>45645.558958333335</v>
      </c>
      <c r="R250" s="2">
        <v>45645.727025462962</v>
      </c>
      <c r="S250" s="1"/>
      <c r="T250" s="1" t="s">
        <v>87</v>
      </c>
      <c r="U250" s="1">
        <v>11244</v>
      </c>
      <c r="V250" s="1">
        <v>7990.1</v>
      </c>
      <c r="W250" s="1">
        <v>79.8</v>
      </c>
      <c r="X250" s="1">
        <v>236.10000000000002</v>
      </c>
      <c r="Y250" s="1">
        <v>18</v>
      </c>
    </row>
    <row r="251" spans="1:25" x14ac:dyDescent="0.25">
      <c r="A251" s="3">
        <v>241</v>
      </c>
      <c r="C251" s="7">
        <v>45646</v>
      </c>
      <c r="D251" s="3">
        <v>1943</v>
      </c>
      <c r="E251" s="1">
        <v>3672.8</v>
      </c>
      <c r="F251" s="3" t="str">
        <f t="shared" si="7"/>
        <v>Injection</v>
      </c>
      <c r="G251" s="1">
        <v>581.70000000000005</v>
      </c>
      <c r="H251" s="2">
        <v>45646.010416666664</v>
      </c>
      <c r="I251" s="2">
        <v>45646.319444444445</v>
      </c>
      <c r="J251" s="1">
        <f t="shared" si="6"/>
        <v>7.4166666667442769</v>
      </c>
      <c r="K251" s="1">
        <v>78.431460673336574</v>
      </c>
      <c r="L251" s="1">
        <v>32.6</v>
      </c>
      <c r="M251" s="1">
        <v>21</v>
      </c>
      <c r="N251" s="3" t="s">
        <v>3</v>
      </c>
      <c r="O251" s="3" t="s">
        <v>1</v>
      </c>
      <c r="P251" s="8" t="s">
        <v>29</v>
      </c>
      <c r="Q251" s="2">
        <v>45646.294085648151</v>
      </c>
      <c r="R251" s="2">
        <v>45646.453055555554</v>
      </c>
      <c r="S251" s="1"/>
      <c r="T251" s="1" t="s">
        <v>87</v>
      </c>
      <c r="U251" s="1">
        <v>11780</v>
      </c>
      <c r="V251" s="1">
        <v>8807.7999999999993</v>
      </c>
      <c r="W251" s="1">
        <v>92.3</v>
      </c>
      <c r="X251" s="1">
        <v>272.39999999999998</v>
      </c>
      <c r="Y251" s="1">
        <v>18</v>
      </c>
    </row>
    <row r="252" spans="1:25" x14ac:dyDescent="0.25">
      <c r="A252" s="3">
        <v>242</v>
      </c>
      <c r="C252" s="7">
        <v>45647</v>
      </c>
      <c r="D252" s="3">
        <v>1951</v>
      </c>
      <c r="E252" s="1">
        <v>3686.2</v>
      </c>
      <c r="F252" s="3" t="str">
        <f t="shared" si="7"/>
        <v>Injection</v>
      </c>
      <c r="G252" s="1">
        <v>583.20000000000005</v>
      </c>
      <c r="H252" s="2">
        <v>45646.791666666664</v>
      </c>
      <c r="I252" s="2">
        <v>45647.145833333336</v>
      </c>
      <c r="J252" s="1">
        <f t="shared" si="6"/>
        <v>8.5000000001164153</v>
      </c>
      <c r="K252" s="1">
        <v>68.611764704942658</v>
      </c>
      <c r="L252" s="1">
        <v>32.6</v>
      </c>
      <c r="M252" s="1">
        <v>2</v>
      </c>
      <c r="N252" s="3" t="s">
        <v>3</v>
      </c>
      <c r="O252" s="3" t="s">
        <v>1</v>
      </c>
      <c r="P252" s="8" t="s">
        <v>29</v>
      </c>
      <c r="Q252" s="2">
        <v>45647.226145833331</v>
      </c>
      <c r="R252" s="2">
        <v>45647.276284722226</v>
      </c>
      <c r="S252" s="1"/>
      <c r="T252" s="1" t="s">
        <v>87</v>
      </c>
      <c r="U252" s="1">
        <v>2480</v>
      </c>
      <c r="V252" s="1">
        <v>1799.1999999999998</v>
      </c>
      <c r="W252" s="1">
        <v>18</v>
      </c>
      <c r="X252" s="1">
        <v>53.3</v>
      </c>
      <c r="Y252" s="1">
        <v>17</v>
      </c>
    </row>
    <row r="253" spans="1:25" x14ac:dyDescent="0.25">
      <c r="A253" s="3">
        <v>243</v>
      </c>
      <c r="C253" s="7">
        <v>45664</v>
      </c>
      <c r="D253" s="3">
        <v>1961</v>
      </c>
      <c r="E253" s="1">
        <v>3705.5</v>
      </c>
      <c r="F253" s="3" t="str">
        <f t="shared" si="7"/>
        <v>Injection</v>
      </c>
      <c r="G253" s="1">
        <v>391.2</v>
      </c>
      <c r="H253" s="2">
        <v>45664.240972222222</v>
      </c>
      <c r="I253" s="2">
        <v>45664.555555555555</v>
      </c>
      <c r="J253" s="1">
        <f t="shared" si="6"/>
        <v>7.5499999999883585</v>
      </c>
      <c r="K253" s="1">
        <v>51.814569536503733</v>
      </c>
      <c r="L253" s="1">
        <v>32.6</v>
      </c>
      <c r="M253" s="1">
        <v>5</v>
      </c>
      <c r="N253" s="3" t="s">
        <v>3</v>
      </c>
      <c r="O253" s="3" t="s">
        <v>1</v>
      </c>
      <c r="P253" s="8" t="s">
        <v>29</v>
      </c>
      <c r="Q253" s="2">
        <v>45664.565243055556</v>
      </c>
      <c r="R253" s="2">
        <v>45664.657361111109</v>
      </c>
      <c r="S253" s="1"/>
      <c r="T253" s="1" t="s">
        <v>87</v>
      </c>
      <c r="U253" s="1">
        <v>5690</v>
      </c>
      <c r="V253" s="1">
        <v>4122</v>
      </c>
      <c r="W253" s="1">
        <v>41</v>
      </c>
      <c r="X253" s="1">
        <v>123</v>
      </c>
      <c r="Y253" s="1">
        <v>12</v>
      </c>
    </row>
    <row r="254" spans="1:25" x14ac:dyDescent="0.25">
      <c r="A254" s="3">
        <v>244</v>
      </c>
      <c r="C254" s="7">
        <v>45665</v>
      </c>
      <c r="D254" s="3">
        <v>1971</v>
      </c>
      <c r="E254" s="1">
        <v>3722.1</v>
      </c>
      <c r="F254" s="3" t="str">
        <f t="shared" si="7"/>
        <v>Injection</v>
      </c>
      <c r="G254" s="1">
        <v>395.2</v>
      </c>
      <c r="H254" s="2">
        <v>45665.145833333336</v>
      </c>
      <c r="I254" s="2">
        <v>45665.506944444445</v>
      </c>
      <c r="J254" s="1">
        <f t="shared" si="6"/>
        <v>8.6666666666278616</v>
      </c>
      <c r="K254" s="1">
        <v>45.600000000204176</v>
      </c>
      <c r="L254" s="1">
        <v>32.6</v>
      </c>
      <c r="M254" s="1">
        <v>0</v>
      </c>
      <c r="N254" s="3" t="s">
        <v>5</v>
      </c>
      <c r="O254" s="3" t="s">
        <v>1</v>
      </c>
      <c r="P254" s="8"/>
      <c r="Q254" s="2">
        <v>45665.485949074071</v>
      </c>
      <c r="R254" s="2">
        <v>45665.522013888891</v>
      </c>
      <c r="S254" s="1"/>
      <c r="T254" s="1" t="s">
        <v>87</v>
      </c>
      <c r="U254" s="1">
        <v>2781</v>
      </c>
      <c r="V254" s="1">
        <v>1261</v>
      </c>
      <c r="W254" s="1">
        <v>13</v>
      </c>
      <c r="X254" s="1">
        <v>37</v>
      </c>
      <c r="Y254" s="1">
        <v>12</v>
      </c>
    </row>
    <row r="255" spans="1:25" x14ac:dyDescent="0.25">
      <c r="A255" s="3">
        <v>245</v>
      </c>
      <c r="C255" s="7">
        <v>45665</v>
      </c>
      <c r="D255" s="3">
        <v>1981</v>
      </c>
      <c r="E255" s="1">
        <v>3740.1</v>
      </c>
      <c r="F255" s="3" t="str">
        <f t="shared" si="7"/>
        <v>Injection</v>
      </c>
      <c r="G255" s="1">
        <v>395.2</v>
      </c>
      <c r="H255" s="2">
        <v>45665.909722222219</v>
      </c>
      <c r="I255" s="2">
        <v>45666.270833333336</v>
      </c>
      <c r="J255" s="1">
        <f t="shared" si="6"/>
        <v>8.6666666668024845</v>
      </c>
      <c r="K255" s="1">
        <v>45.599999999285387</v>
      </c>
      <c r="L255" s="1">
        <v>32.6</v>
      </c>
      <c r="M255" s="1">
        <v>77</v>
      </c>
      <c r="N255" s="3" t="s">
        <v>3</v>
      </c>
      <c r="O255" s="3" t="s">
        <v>1</v>
      </c>
      <c r="P255" s="8" t="s">
        <v>7</v>
      </c>
      <c r="Q255" s="2">
        <v>45666.257662037038</v>
      </c>
      <c r="R255" s="2">
        <v>45666.444143518522</v>
      </c>
      <c r="S255" s="1"/>
      <c r="T255" s="1" t="s">
        <v>87</v>
      </c>
      <c r="U255" s="1">
        <v>11133</v>
      </c>
      <c r="V255" s="1">
        <v>8530</v>
      </c>
      <c r="W255" s="1">
        <v>89</v>
      </c>
      <c r="X255" s="1">
        <v>908</v>
      </c>
      <c r="Y255" s="1">
        <v>12</v>
      </c>
    </row>
    <row r="256" spans="1:25" x14ac:dyDescent="0.25">
      <c r="A256" s="3">
        <v>246</v>
      </c>
      <c r="C256" s="7">
        <v>45666</v>
      </c>
      <c r="D256" s="3">
        <v>1989</v>
      </c>
      <c r="E256" s="1">
        <v>3756</v>
      </c>
      <c r="F256" s="3" t="str">
        <f t="shared" si="7"/>
        <v>Injection</v>
      </c>
      <c r="G256" s="1">
        <v>389.5</v>
      </c>
      <c r="H256" s="2">
        <v>45666.759722222225</v>
      </c>
      <c r="I256" s="2">
        <v>45666.976388888892</v>
      </c>
      <c r="J256" s="1">
        <f t="shared" si="6"/>
        <v>5.2000000000116415</v>
      </c>
      <c r="K256" s="1">
        <v>74.903846153678458</v>
      </c>
      <c r="L256" s="1">
        <v>32.6</v>
      </c>
      <c r="M256" s="1">
        <v>20</v>
      </c>
      <c r="N256" s="3" t="s">
        <v>5</v>
      </c>
      <c r="O256" s="3" t="s">
        <v>1</v>
      </c>
      <c r="P256" s="8"/>
      <c r="Q256" s="2">
        <v>45666.9996875</v>
      </c>
      <c r="R256" s="2">
        <v>45667.194606481484</v>
      </c>
      <c r="S256" s="1"/>
      <c r="T256" s="1" t="s">
        <v>87</v>
      </c>
      <c r="U256" s="1">
        <v>10987</v>
      </c>
      <c r="V256" s="1">
        <v>7994</v>
      </c>
      <c r="W256" s="1">
        <v>84</v>
      </c>
      <c r="X256" s="1">
        <v>246</v>
      </c>
      <c r="Y256" s="1">
        <v>12</v>
      </c>
    </row>
    <row r="257" spans="1:25" x14ac:dyDescent="0.25">
      <c r="A257" s="3">
        <v>247</v>
      </c>
      <c r="C257" s="7">
        <v>45671</v>
      </c>
      <c r="D257" s="3">
        <v>2000</v>
      </c>
      <c r="E257" s="1">
        <v>3774.88</v>
      </c>
      <c r="F257" s="3" t="str">
        <f t="shared" si="7"/>
        <v>Injection</v>
      </c>
      <c r="G257" s="1">
        <v>480</v>
      </c>
      <c r="H257" s="2">
        <v>45671.409722222219</v>
      </c>
      <c r="I257" s="2">
        <v>45671.701388888891</v>
      </c>
      <c r="J257" s="1">
        <f t="shared" si="6"/>
        <v>7.0000000001164153</v>
      </c>
      <c r="K257" s="1">
        <v>68.571428570288177</v>
      </c>
      <c r="L257" s="1">
        <v>40</v>
      </c>
      <c r="M257" s="1">
        <v>30</v>
      </c>
      <c r="N257" s="3" t="s">
        <v>3</v>
      </c>
      <c r="O257" s="3" t="s">
        <v>1</v>
      </c>
      <c r="P257" s="8" t="s">
        <v>36</v>
      </c>
      <c r="Q257" s="2">
        <v>45671.694768518515</v>
      </c>
      <c r="R257" s="2">
        <v>45671.820370370369</v>
      </c>
      <c r="S257" s="1"/>
      <c r="T257" s="1" t="s">
        <v>87</v>
      </c>
      <c r="U257" s="1">
        <v>7127</v>
      </c>
      <c r="V257" s="1">
        <v>5399</v>
      </c>
      <c r="W257" s="1">
        <v>64</v>
      </c>
      <c r="X257" s="1">
        <v>190</v>
      </c>
      <c r="Y257" s="1">
        <v>12</v>
      </c>
    </row>
    <row r="258" spans="1:25" x14ac:dyDescent="0.25">
      <c r="A258" s="3">
        <v>248</v>
      </c>
      <c r="C258" s="7">
        <v>45672</v>
      </c>
      <c r="D258" s="3">
        <v>2014</v>
      </c>
      <c r="E258" s="1">
        <v>3799.1</v>
      </c>
      <c r="F258" s="3" t="str">
        <f t="shared" si="7"/>
        <v>Injection</v>
      </c>
      <c r="G258" s="1">
        <v>437.7</v>
      </c>
      <c r="H258" s="2">
        <v>45672.4</v>
      </c>
      <c r="I258" s="2">
        <v>45672.589583333334</v>
      </c>
      <c r="J258" s="1">
        <f t="shared" ref="J258:J321" si="8">(I258-H258)*24</f>
        <v>4.5499999999883585</v>
      </c>
      <c r="K258" s="1">
        <v>96.197802198048322</v>
      </c>
      <c r="L258" s="1">
        <v>40</v>
      </c>
      <c r="M258" s="1">
        <v>84</v>
      </c>
      <c r="N258" s="3" t="s">
        <v>5</v>
      </c>
      <c r="O258" s="3" t="s">
        <v>1</v>
      </c>
      <c r="P258" s="8"/>
      <c r="Q258" s="2">
        <v>45672.599004629628</v>
      </c>
      <c r="R258" s="2">
        <v>45672.935636574075</v>
      </c>
      <c r="S258" s="1"/>
      <c r="T258" s="1" t="s">
        <v>87</v>
      </c>
      <c r="U258" s="1">
        <v>24044</v>
      </c>
      <c r="V258" s="1">
        <v>17140</v>
      </c>
      <c r="W258" s="1">
        <v>175</v>
      </c>
      <c r="X258" s="1">
        <v>515</v>
      </c>
      <c r="Y258" s="1">
        <v>12</v>
      </c>
    </row>
    <row r="259" spans="1:25" x14ac:dyDescent="0.25">
      <c r="A259" s="3">
        <v>249</v>
      </c>
      <c r="C259" s="7">
        <v>45673</v>
      </c>
      <c r="D259" s="3">
        <v>2028</v>
      </c>
      <c r="E259" s="1">
        <v>3824.31</v>
      </c>
      <c r="F259" s="3" t="str">
        <f t="shared" si="7"/>
        <v>Injection</v>
      </c>
      <c r="G259" s="1">
        <v>480</v>
      </c>
      <c r="H259" s="2">
        <v>45673.723611111112</v>
      </c>
      <c r="I259" s="2">
        <v>45673.925694444442</v>
      </c>
      <c r="J259" s="1">
        <f t="shared" si="8"/>
        <v>4.8499999999185093</v>
      </c>
      <c r="K259" s="1">
        <v>98.969072166611355</v>
      </c>
      <c r="L259" s="1">
        <v>40</v>
      </c>
      <c r="M259" s="1">
        <v>15</v>
      </c>
      <c r="N259" s="3" t="s">
        <v>3</v>
      </c>
      <c r="O259" s="3" t="s">
        <v>1</v>
      </c>
      <c r="P259" s="8" t="s">
        <v>7</v>
      </c>
      <c r="Q259" s="2">
        <v>45673.934687499997</v>
      </c>
      <c r="R259" s="2">
        <v>45674.008287037039</v>
      </c>
      <c r="S259" s="1"/>
      <c r="T259" s="1" t="s">
        <v>87</v>
      </c>
      <c r="U259" s="1">
        <v>5129</v>
      </c>
      <c r="V259" s="1">
        <v>3819</v>
      </c>
      <c r="W259" s="1">
        <v>38</v>
      </c>
      <c r="X259" s="1">
        <v>107</v>
      </c>
      <c r="Y259" s="1">
        <v>12</v>
      </c>
    </row>
    <row r="260" spans="1:25" x14ac:dyDescent="0.25">
      <c r="A260" s="3">
        <v>250</v>
      </c>
      <c r="C260" s="7">
        <v>45675</v>
      </c>
      <c r="D260" s="3">
        <v>2042</v>
      </c>
      <c r="E260" s="1">
        <v>3849.58</v>
      </c>
      <c r="F260" s="3" t="str">
        <f t="shared" si="7"/>
        <v>Injection</v>
      </c>
      <c r="G260" s="1">
        <v>482.2</v>
      </c>
      <c r="H260" s="2">
        <v>45674.763888888891</v>
      </c>
      <c r="I260" s="2">
        <v>45675.097222222219</v>
      </c>
      <c r="J260" s="1">
        <f t="shared" si="8"/>
        <v>7.9999999998835847</v>
      </c>
      <c r="K260" s="1">
        <v>60.275000000877114</v>
      </c>
      <c r="L260" s="1">
        <v>40</v>
      </c>
      <c r="M260" s="1">
        <v>5</v>
      </c>
      <c r="N260" s="3" t="s">
        <v>3</v>
      </c>
      <c r="O260" s="3" t="s">
        <v>1</v>
      </c>
      <c r="P260" s="8" t="s">
        <v>7</v>
      </c>
      <c r="Q260" s="2">
        <v>45675.117754629631</v>
      </c>
      <c r="R260" s="2">
        <v>45675.377384259256</v>
      </c>
      <c r="S260" s="1"/>
      <c r="T260" s="1" t="s">
        <v>87</v>
      </c>
      <c r="U260" s="1">
        <v>21155</v>
      </c>
      <c r="V260" s="1">
        <v>16089</v>
      </c>
      <c r="W260" s="1">
        <v>164</v>
      </c>
      <c r="X260" s="1">
        <v>302</v>
      </c>
      <c r="Y260" s="1">
        <v>13</v>
      </c>
    </row>
    <row r="261" spans="1:25" x14ac:dyDescent="0.25">
      <c r="A261" s="3">
        <v>251</v>
      </c>
      <c r="C261" s="7">
        <v>45677</v>
      </c>
      <c r="D261" s="3">
        <v>2056</v>
      </c>
      <c r="E261" s="1">
        <v>3875.58</v>
      </c>
      <c r="F261" s="3" t="str">
        <f t="shared" si="7"/>
        <v>Injection</v>
      </c>
      <c r="G261" s="1">
        <v>480</v>
      </c>
      <c r="H261" s="2">
        <v>45677.50277777778</v>
      </c>
      <c r="I261" s="2">
        <v>45677.740972222222</v>
      </c>
      <c r="J261" s="1">
        <f t="shared" si="8"/>
        <v>5.71666666661622</v>
      </c>
      <c r="K261" s="1">
        <v>83.965014578000421</v>
      </c>
      <c r="L261" s="1">
        <v>40</v>
      </c>
      <c r="M261" s="1">
        <v>4</v>
      </c>
      <c r="N261" s="3" t="s">
        <v>5</v>
      </c>
      <c r="O261" s="3" t="s">
        <v>1</v>
      </c>
      <c r="P261" s="8"/>
      <c r="Q261" s="2">
        <v>45677.745254629626</v>
      </c>
      <c r="R261" s="2">
        <v>45678.161504629628</v>
      </c>
      <c r="S261" s="1"/>
      <c r="T261" s="1" t="s">
        <v>87</v>
      </c>
      <c r="U261" s="1">
        <v>29937</v>
      </c>
      <c r="V261" s="1">
        <v>20282</v>
      </c>
      <c r="W261" s="1">
        <v>209</v>
      </c>
      <c r="X261" s="1">
        <v>617</v>
      </c>
      <c r="Y261" s="1">
        <v>12</v>
      </c>
    </row>
    <row r="262" spans="1:25" x14ac:dyDescent="0.25">
      <c r="A262" s="3">
        <v>252</v>
      </c>
      <c r="C262" s="7">
        <v>45678</v>
      </c>
      <c r="D262" s="3">
        <v>2070</v>
      </c>
      <c r="E262" s="1">
        <v>3899.87</v>
      </c>
      <c r="F262" s="3" t="str">
        <f t="shared" si="7"/>
        <v>Injection</v>
      </c>
      <c r="G262" s="1">
        <v>480</v>
      </c>
      <c r="H262" s="2">
        <v>45678.619444444441</v>
      </c>
      <c r="I262" s="2">
        <v>45678.84375</v>
      </c>
      <c r="J262" s="1">
        <f t="shared" si="8"/>
        <v>5.3833333334187046</v>
      </c>
      <c r="K262" s="1">
        <v>89.164086685892499</v>
      </c>
      <c r="L262" s="1">
        <v>40</v>
      </c>
      <c r="M262" s="1">
        <v>9</v>
      </c>
      <c r="N262" s="3" t="s">
        <v>3</v>
      </c>
      <c r="O262" s="3" t="s">
        <v>1</v>
      </c>
      <c r="P262" s="8" t="s">
        <v>7</v>
      </c>
      <c r="Q262" s="2">
        <v>45678.852256944447</v>
      </c>
      <c r="R262" s="2">
        <v>45679.090520833335</v>
      </c>
      <c r="S262" s="1"/>
      <c r="T262" s="1" t="s">
        <v>87</v>
      </c>
      <c r="U262" s="1">
        <v>20151</v>
      </c>
      <c r="V262" s="1">
        <v>14719</v>
      </c>
      <c r="W262" s="1">
        <v>150</v>
      </c>
      <c r="X262" s="1">
        <v>442</v>
      </c>
      <c r="Y262" s="1">
        <v>12</v>
      </c>
    </row>
    <row r="263" spans="1:25" x14ac:dyDescent="0.25">
      <c r="A263" s="3">
        <v>253</v>
      </c>
      <c r="C263" s="7">
        <v>45679</v>
      </c>
      <c r="D263" s="3">
        <v>2084</v>
      </c>
      <c r="E263" s="1">
        <v>3925</v>
      </c>
      <c r="F263" s="3" t="str">
        <f t="shared" si="7"/>
        <v>Injection</v>
      </c>
      <c r="G263" s="1">
        <v>480</v>
      </c>
      <c r="H263" s="2">
        <v>45679.584722222222</v>
      </c>
      <c r="I263" s="2">
        <v>45679.840277777781</v>
      </c>
      <c r="J263" s="1">
        <f t="shared" si="8"/>
        <v>6.1333333334187046</v>
      </c>
      <c r="K263" s="1">
        <v>78.260869564128058</v>
      </c>
      <c r="L263" s="1">
        <v>40</v>
      </c>
      <c r="M263" s="1">
        <v>7</v>
      </c>
      <c r="N263" s="3" t="s">
        <v>5</v>
      </c>
      <c r="O263" s="3" t="s">
        <v>1</v>
      </c>
      <c r="P263" s="8" t="s">
        <v>17</v>
      </c>
      <c r="Q263" s="2">
        <v>45679.767175925925</v>
      </c>
      <c r="R263" s="2">
        <v>45679.953379629631</v>
      </c>
      <c r="S263" s="1"/>
      <c r="T263" s="1" t="s">
        <v>87</v>
      </c>
      <c r="U263" s="1">
        <v>16930</v>
      </c>
      <c r="V263" s="1">
        <v>11031</v>
      </c>
      <c r="W263" s="1">
        <v>114</v>
      </c>
      <c r="X263" s="1">
        <v>297</v>
      </c>
      <c r="Y263" s="1">
        <v>12</v>
      </c>
    </row>
    <row r="264" spans="1:25" x14ac:dyDescent="0.25">
      <c r="A264" s="3">
        <v>254</v>
      </c>
      <c r="C264" s="7">
        <v>45680</v>
      </c>
      <c r="D264" s="3">
        <v>2098</v>
      </c>
      <c r="E264" s="1">
        <v>3950.14</v>
      </c>
      <c r="F264" s="3" t="str">
        <f t="shared" si="7"/>
        <v>Injection</v>
      </c>
      <c r="G264" s="1">
        <v>480</v>
      </c>
      <c r="H264" s="2">
        <v>45680.436805555553</v>
      </c>
      <c r="I264" s="2">
        <v>45680.6</v>
      </c>
      <c r="J264" s="1">
        <f t="shared" si="8"/>
        <v>3.9166666666860692</v>
      </c>
      <c r="K264" s="1">
        <v>122.55319148875459</v>
      </c>
      <c r="L264" s="1">
        <v>40</v>
      </c>
      <c r="M264" s="1">
        <v>10</v>
      </c>
      <c r="N264" s="3" t="s">
        <v>5</v>
      </c>
      <c r="O264" s="3" t="s">
        <v>1</v>
      </c>
      <c r="P264" s="8" t="s">
        <v>17</v>
      </c>
      <c r="Q264" s="2">
        <v>45680.603680555556</v>
      </c>
      <c r="R264" s="2">
        <v>45680.710925925923</v>
      </c>
      <c r="S264" s="1"/>
      <c r="T264" s="1" t="s">
        <v>87</v>
      </c>
      <c r="U264" s="1">
        <v>8044</v>
      </c>
      <c r="V264" s="1">
        <v>5039</v>
      </c>
      <c r="W264" s="1">
        <v>56</v>
      </c>
      <c r="X264" s="1">
        <v>157</v>
      </c>
      <c r="Y264" s="1">
        <v>12</v>
      </c>
    </row>
    <row r="265" spans="1:25" x14ac:dyDescent="0.25">
      <c r="A265" s="3">
        <v>255</v>
      </c>
      <c r="C265" s="7">
        <v>45681</v>
      </c>
      <c r="D265" s="3">
        <v>2112</v>
      </c>
      <c r="E265" s="1">
        <v>3975.52</v>
      </c>
      <c r="F265" s="3" t="str">
        <f t="shared" si="7"/>
        <v>Injection</v>
      </c>
      <c r="G265" s="1">
        <v>480</v>
      </c>
      <c r="H265" s="2">
        <v>45681.156944444447</v>
      </c>
      <c r="I265" s="2">
        <v>45681.34375</v>
      </c>
      <c r="J265" s="1">
        <f t="shared" si="8"/>
        <v>4.4833333332790062</v>
      </c>
      <c r="K265" s="1">
        <v>107.06319702731965</v>
      </c>
      <c r="L265" s="1">
        <v>40</v>
      </c>
      <c r="M265" s="1">
        <v>1</v>
      </c>
      <c r="N265" s="3" t="s">
        <v>3</v>
      </c>
      <c r="O265" s="3" t="s">
        <v>1</v>
      </c>
      <c r="P265" s="8" t="s">
        <v>7</v>
      </c>
      <c r="Q265" s="2">
        <v>45681.320833333331</v>
      </c>
      <c r="R265" s="2">
        <v>45681.43472222222</v>
      </c>
      <c r="S265" s="1"/>
      <c r="T265" s="1" t="s">
        <v>87</v>
      </c>
      <c r="U265" s="1">
        <v>7748</v>
      </c>
      <c r="V265" s="1">
        <v>5635</v>
      </c>
      <c r="W265" s="1">
        <v>57</v>
      </c>
      <c r="X265" s="1">
        <v>131</v>
      </c>
      <c r="Y265" s="1">
        <v>12</v>
      </c>
    </row>
    <row r="266" spans="1:25" x14ac:dyDescent="0.25">
      <c r="A266" s="3">
        <v>256</v>
      </c>
      <c r="C266" s="7">
        <v>45681</v>
      </c>
      <c r="D266" s="3">
        <v>2126</v>
      </c>
      <c r="E266" s="1">
        <v>4001.94</v>
      </c>
      <c r="F266" s="3" t="str">
        <f t="shared" si="7"/>
        <v>Injection</v>
      </c>
      <c r="G266" s="1">
        <v>480</v>
      </c>
      <c r="H266" s="2">
        <v>45682.017361111109</v>
      </c>
      <c r="I266" s="2">
        <v>45682.15625</v>
      </c>
      <c r="J266" s="1">
        <f t="shared" si="8"/>
        <v>3.3333333333721384</v>
      </c>
      <c r="K266" s="1">
        <v>143.99999999832363</v>
      </c>
      <c r="L266" s="1">
        <v>40</v>
      </c>
      <c r="M266" s="1">
        <v>10</v>
      </c>
      <c r="N266" s="3" t="s">
        <v>3</v>
      </c>
      <c r="O266" s="3" t="s">
        <v>1</v>
      </c>
      <c r="P266" s="8" t="s">
        <v>7</v>
      </c>
      <c r="Q266" s="2">
        <v>45682.170138888891</v>
      </c>
      <c r="R266" s="2">
        <v>45682.195833333331</v>
      </c>
      <c r="S266" s="1"/>
      <c r="T266" s="1" t="s">
        <v>87</v>
      </c>
      <c r="U266" s="1">
        <v>1022</v>
      </c>
      <c r="V266" s="1">
        <v>1062</v>
      </c>
      <c r="W266" s="1">
        <v>11</v>
      </c>
      <c r="X266" s="1">
        <v>29.4</v>
      </c>
      <c r="Y266" s="1">
        <v>13</v>
      </c>
    </row>
    <row r="267" spans="1:25" x14ac:dyDescent="0.25">
      <c r="A267" s="3">
        <v>257</v>
      </c>
      <c r="C267" s="7">
        <v>45684</v>
      </c>
      <c r="D267" s="3">
        <v>2140</v>
      </c>
      <c r="E267" s="1">
        <v>4027.2</v>
      </c>
      <c r="F267" s="3" t="str">
        <f t="shared" si="7"/>
        <v>Injection</v>
      </c>
      <c r="G267" s="1">
        <v>480</v>
      </c>
      <c r="H267" s="2">
        <v>45685.143750000003</v>
      </c>
      <c r="I267" s="2">
        <v>45685.29583333333</v>
      </c>
      <c r="J267" s="1">
        <f t="shared" si="8"/>
        <v>3.6499999998486601</v>
      </c>
      <c r="K267" s="1">
        <v>131.50684932052116</v>
      </c>
      <c r="L267" s="1">
        <v>40</v>
      </c>
      <c r="M267" s="1">
        <v>0</v>
      </c>
      <c r="N267" s="3" t="s">
        <v>3</v>
      </c>
      <c r="O267" s="3" t="s">
        <v>1</v>
      </c>
      <c r="P267" s="8" t="s">
        <v>7</v>
      </c>
      <c r="Q267" s="2">
        <v>45685.323182870372</v>
      </c>
      <c r="R267" s="2">
        <v>45685.383726851855</v>
      </c>
      <c r="S267" s="1"/>
      <c r="T267" s="1" t="s">
        <v>87</v>
      </c>
      <c r="U267" s="1">
        <v>2522</v>
      </c>
      <c r="V267" s="1">
        <v>1982</v>
      </c>
      <c r="W267" s="1">
        <v>20</v>
      </c>
      <c r="X267" s="1">
        <v>59</v>
      </c>
      <c r="Y267" s="1">
        <v>12</v>
      </c>
    </row>
    <row r="268" spans="1:25" x14ac:dyDescent="0.25">
      <c r="A268" s="3">
        <v>258</v>
      </c>
      <c r="C268" s="7">
        <v>45685</v>
      </c>
      <c r="D268" s="3">
        <v>2154</v>
      </c>
      <c r="E268" s="1">
        <v>4051.6</v>
      </c>
      <c r="F268" s="3" t="str">
        <f t="shared" si="7"/>
        <v>Injection</v>
      </c>
      <c r="G268" s="1">
        <v>470</v>
      </c>
      <c r="H268" s="2">
        <v>45685.885416666664</v>
      </c>
      <c r="I268" s="2">
        <v>45686.054861111108</v>
      </c>
      <c r="J268" s="1">
        <f t="shared" si="8"/>
        <v>4.0666666666511446</v>
      </c>
      <c r="K268" s="1">
        <v>115.57377049224441</v>
      </c>
      <c r="L268" s="1">
        <v>40</v>
      </c>
      <c r="M268" s="1">
        <v>0</v>
      </c>
      <c r="N268" s="3" t="s">
        <v>5</v>
      </c>
      <c r="O268" s="3" t="s">
        <v>1</v>
      </c>
      <c r="P268" s="8"/>
      <c r="Q268" s="2">
        <v>45686.075729166667</v>
      </c>
      <c r="R268" s="2">
        <v>45686.132361111115</v>
      </c>
      <c r="S268" s="1"/>
      <c r="T268" s="1" t="s">
        <v>87</v>
      </c>
      <c r="U268" s="1">
        <v>4123</v>
      </c>
      <c r="V268" s="1">
        <v>2961</v>
      </c>
      <c r="W268" s="1">
        <v>30</v>
      </c>
      <c r="X268" s="1">
        <v>88</v>
      </c>
      <c r="Y268" s="1">
        <v>12</v>
      </c>
    </row>
    <row r="269" spans="1:25" x14ac:dyDescent="0.25">
      <c r="A269" s="3">
        <v>259</v>
      </c>
      <c r="C269" s="7">
        <v>45686</v>
      </c>
      <c r="D269" s="3">
        <v>2168</v>
      </c>
      <c r="E269" s="1">
        <v>4076.8</v>
      </c>
      <c r="F269" s="3" t="str">
        <f t="shared" si="7"/>
        <v>Injection</v>
      </c>
      <c r="G269" s="1">
        <v>465</v>
      </c>
      <c r="H269" s="2">
        <v>45686.563888888886</v>
      </c>
      <c r="I269" s="2">
        <v>45686.854166666664</v>
      </c>
      <c r="J269" s="1">
        <f t="shared" si="8"/>
        <v>6.9666666666744277</v>
      </c>
      <c r="K269" s="1">
        <v>66.74641148317923</v>
      </c>
      <c r="L269" s="1">
        <v>40</v>
      </c>
      <c r="M269" s="1">
        <v>0</v>
      </c>
      <c r="N269" s="3" t="s">
        <v>5</v>
      </c>
      <c r="O269" s="3" t="s">
        <v>1</v>
      </c>
      <c r="P269" s="8"/>
      <c r="Q269" s="2">
        <v>45686.865370370368</v>
      </c>
      <c r="R269" s="2">
        <v>45686.960023148145</v>
      </c>
      <c r="S269" s="1"/>
      <c r="T269" s="1" t="s">
        <v>87</v>
      </c>
      <c r="U269" s="1">
        <v>7905</v>
      </c>
      <c r="V269" s="1">
        <v>5298</v>
      </c>
      <c r="W269" s="1">
        <v>55</v>
      </c>
      <c r="X269" s="1">
        <v>162</v>
      </c>
      <c r="Y269" s="1">
        <v>12</v>
      </c>
    </row>
    <row r="270" spans="1:25" x14ac:dyDescent="0.25">
      <c r="A270" s="3">
        <v>260</v>
      </c>
      <c r="C270" s="7">
        <v>45687</v>
      </c>
      <c r="D270" s="3">
        <v>2182</v>
      </c>
      <c r="E270" s="1">
        <v>4102</v>
      </c>
      <c r="F270" s="3" t="str">
        <f t="shared" si="7"/>
        <v>Injection</v>
      </c>
      <c r="G270" s="1">
        <v>480</v>
      </c>
      <c r="H270" s="2">
        <v>45687.569444444445</v>
      </c>
      <c r="I270" s="2">
        <v>45687.708333333336</v>
      </c>
      <c r="J270" s="1">
        <f t="shared" si="8"/>
        <v>3.3333333333721384</v>
      </c>
      <c r="K270" s="1">
        <v>143.99999999832363</v>
      </c>
      <c r="L270" s="1">
        <v>40</v>
      </c>
      <c r="M270" s="1">
        <v>0</v>
      </c>
      <c r="N270" s="3" t="s">
        <v>5</v>
      </c>
      <c r="O270" s="3" t="s">
        <v>1</v>
      </c>
      <c r="P270" s="8"/>
      <c r="Q270" s="2">
        <v>45687.703229166669</v>
      </c>
      <c r="R270" s="2">
        <v>45687.794988425929</v>
      </c>
      <c r="S270" s="1"/>
      <c r="T270" s="1" t="s">
        <v>87</v>
      </c>
      <c r="U270" s="1">
        <v>4729</v>
      </c>
      <c r="V270" s="1">
        <v>3302</v>
      </c>
      <c r="W270" s="1">
        <v>33</v>
      </c>
      <c r="X270" s="1">
        <v>97</v>
      </c>
      <c r="Y270" s="1">
        <v>12</v>
      </c>
    </row>
    <row r="271" spans="1:25" x14ac:dyDescent="0.25">
      <c r="A271" s="3">
        <v>261</v>
      </c>
      <c r="C271" s="7">
        <v>45689</v>
      </c>
      <c r="D271" s="3">
        <v>2196</v>
      </c>
      <c r="E271" s="1">
        <v>4127.2</v>
      </c>
      <c r="F271" s="3" t="str">
        <f t="shared" si="7"/>
        <v>Injection</v>
      </c>
      <c r="G271" s="1">
        <v>480</v>
      </c>
      <c r="H271" s="2">
        <v>45689.211805555555</v>
      </c>
      <c r="I271" s="2">
        <v>45689.363888888889</v>
      </c>
      <c r="J271" s="1">
        <f t="shared" si="8"/>
        <v>3.6500000000232831</v>
      </c>
      <c r="K271" s="1">
        <v>131.50684931422961</v>
      </c>
      <c r="L271" s="1">
        <v>40</v>
      </c>
      <c r="M271" s="1">
        <v>0</v>
      </c>
      <c r="N271" s="3" t="s">
        <v>3</v>
      </c>
      <c r="O271" s="3" t="s">
        <v>1</v>
      </c>
      <c r="P271" s="8" t="s">
        <v>7</v>
      </c>
      <c r="Q271" s="2">
        <v>45689.388391203705</v>
      </c>
      <c r="R271" s="2">
        <v>45689.670138888891</v>
      </c>
      <c r="S271" s="1"/>
      <c r="T271" s="1" t="s">
        <v>87</v>
      </c>
      <c r="U271" s="1">
        <v>15000</v>
      </c>
      <c r="V271" s="1">
        <v>11516</v>
      </c>
      <c r="W271" s="1">
        <v>119</v>
      </c>
      <c r="X271" s="1">
        <v>351</v>
      </c>
      <c r="Y271" s="1">
        <v>12</v>
      </c>
    </row>
    <row r="272" spans="1:25" x14ac:dyDescent="0.25">
      <c r="A272" s="3">
        <v>262</v>
      </c>
      <c r="C272" s="7">
        <v>45690</v>
      </c>
      <c r="D272" s="3">
        <v>2210</v>
      </c>
      <c r="E272" s="1">
        <v>4153.2</v>
      </c>
      <c r="F272" s="3" t="str">
        <f t="shared" si="7"/>
        <v>Injection</v>
      </c>
      <c r="G272" s="1">
        <f>400+25.77+37.51</f>
        <v>463.28</v>
      </c>
      <c r="H272" s="2">
        <v>45691.295138888891</v>
      </c>
      <c r="I272" s="2">
        <v>45691.475694444445</v>
      </c>
      <c r="J272" s="1">
        <f t="shared" si="8"/>
        <v>4.3333333333139308</v>
      </c>
      <c r="K272" s="1">
        <v>106.91076923124793</v>
      </c>
      <c r="L272" s="1">
        <v>40</v>
      </c>
      <c r="M272" s="1">
        <v>258</v>
      </c>
      <c r="N272" s="3" t="s">
        <v>5</v>
      </c>
      <c r="O272" s="3" t="s">
        <v>1</v>
      </c>
      <c r="P272" s="8"/>
      <c r="Q272" s="2">
        <v>45691.482187499998</v>
      </c>
      <c r="R272" s="2">
        <v>45691.927847222221</v>
      </c>
      <c r="S272" s="1"/>
      <c r="T272" s="1" t="s">
        <v>87</v>
      </c>
      <c r="U272" s="1">
        <v>34582</v>
      </c>
      <c r="V272" s="1">
        <v>26941</v>
      </c>
      <c r="W272" s="1">
        <v>275</v>
      </c>
      <c r="X272" s="1">
        <v>784</v>
      </c>
      <c r="Y272" s="1">
        <v>12</v>
      </c>
    </row>
    <row r="273" spans="1:25" x14ac:dyDescent="0.25">
      <c r="A273" s="3">
        <v>263</v>
      </c>
      <c r="C273" s="7">
        <v>45692</v>
      </c>
      <c r="D273" s="3">
        <v>2214</v>
      </c>
      <c r="E273" s="1">
        <v>4160</v>
      </c>
      <c r="F273" s="3" t="str">
        <f t="shared" si="7"/>
        <v>Injection</v>
      </c>
      <c r="G273" s="1">
        <v>480</v>
      </c>
      <c r="H273" s="2">
        <v>45692.194444444445</v>
      </c>
      <c r="I273" s="2">
        <v>45692.378472222219</v>
      </c>
      <c r="J273" s="1">
        <f t="shared" si="8"/>
        <v>4.4166666665696539</v>
      </c>
      <c r="K273" s="1">
        <v>108.67924528540603</v>
      </c>
      <c r="L273" s="1">
        <v>40</v>
      </c>
      <c r="M273" s="1">
        <v>7</v>
      </c>
      <c r="N273" s="3" t="s">
        <v>5</v>
      </c>
      <c r="O273" s="3" t="s">
        <v>1</v>
      </c>
      <c r="P273" s="8"/>
      <c r="Q273" s="2">
        <v>45692.369930555556</v>
      </c>
      <c r="R273" s="2">
        <v>45692.522789351853</v>
      </c>
      <c r="S273" s="1"/>
      <c r="T273" s="1" t="s">
        <v>87</v>
      </c>
      <c r="U273" s="1">
        <v>14056</v>
      </c>
      <c r="V273" s="1">
        <v>10095.400000000001</v>
      </c>
      <c r="W273" s="1">
        <v>101.09999999999997</v>
      </c>
      <c r="X273" s="1">
        <v>298.89999999999998</v>
      </c>
      <c r="Y273" s="1">
        <v>12</v>
      </c>
    </row>
    <row r="274" spans="1:25" x14ac:dyDescent="0.25">
      <c r="A274" s="3">
        <v>264</v>
      </c>
      <c r="C274" s="7">
        <v>45693</v>
      </c>
      <c r="D274" s="3">
        <v>2228</v>
      </c>
      <c r="E274" s="1">
        <v>4184.8</v>
      </c>
      <c r="F274" s="3" t="str">
        <f t="shared" si="7"/>
        <v>Injection</v>
      </c>
      <c r="G274" s="1">
        <v>470</v>
      </c>
      <c r="H274" s="2">
        <v>45693.223611111112</v>
      </c>
      <c r="I274" s="2">
        <v>45693.409722222219</v>
      </c>
      <c r="J274" s="1">
        <f t="shared" si="8"/>
        <v>4.4666666665580124</v>
      </c>
      <c r="K274" s="1">
        <v>105.22388059957456</v>
      </c>
      <c r="L274" s="1">
        <v>40</v>
      </c>
      <c r="M274" s="1">
        <v>10</v>
      </c>
      <c r="N274" s="3" t="s">
        <v>3</v>
      </c>
      <c r="O274" s="3" t="s">
        <v>1</v>
      </c>
      <c r="P274" s="8" t="s">
        <v>37</v>
      </c>
      <c r="Q274" s="2">
        <v>45693.432951388888</v>
      </c>
      <c r="R274" s="2">
        <v>45694.087291666663</v>
      </c>
      <c r="S274" s="1"/>
      <c r="T274" s="1" t="s">
        <v>87</v>
      </c>
      <c r="U274" s="1">
        <v>51616</v>
      </c>
      <c r="V274" s="1">
        <v>40428</v>
      </c>
      <c r="W274" s="1">
        <v>411</v>
      </c>
      <c r="X274" s="1">
        <v>1214</v>
      </c>
      <c r="Y274" s="1">
        <v>13</v>
      </c>
    </row>
    <row r="275" spans="1:25" x14ac:dyDescent="0.25">
      <c r="A275" s="3">
        <v>265</v>
      </c>
      <c r="C275" s="7">
        <v>45694</v>
      </c>
      <c r="D275" s="3">
        <v>2242</v>
      </c>
      <c r="E275" s="1">
        <v>4210.3999999999996</v>
      </c>
      <c r="F275" s="3" t="str">
        <f t="shared" si="7"/>
        <v>Injection</v>
      </c>
      <c r="G275" s="1">
        <v>480</v>
      </c>
      <c r="H275" s="2">
        <v>45694.541666666664</v>
      </c>
      <c r="I275" s="2">
        <v>45694.727777777778</v>
      </c>
      <c r="J275" s="1">
        <f t="shared" si="8"/>
        <v>4.4666666667326353</v>
      </c>
      <c r="K275" s="1">
        <v>107.46268656557704</v>
      </c>
      <c r="L275" s="1">
        <v>40</v>
      </c>
      <c r="M275" s="1">
        <v>8</v>
      </c>
      <c r="N275" s="3" t="s">
        <v>5</v>
      </c>
      <c r="O275" s="3" t="s">
        <v>1</v>
      </c>
      <c r="P275" s="8"/>
      <c r="Q275" s="2">
        <v>45694.741585648146</v>
      </c>
      <c r="R275" s="2">
        <v>45695.239537037036</v>
      </c>
      <c r="S275" s="1"/>
      <c r="T275" s="1" t="s">
        <v>87</v>
      </c>
      <c r="U275" s="1">
        <v>32561</v>
      </c>
      <c r="V275" s="1">
        <v>24325</v>
      </c>
      <c r="W275" s="1">
        <v>243</v>
      </c>
      <c r="X275" s="1">
        <v>720</v>
      </c>
      <c r="Y275" s="1">
        <v>14</v>
      </c>
    </row>
    <row r="276" spans="1:25" x14ac:dyDescent="0.25">
      <c r="A276" s="3">
        <v>266</v>
      </c>
      <c r="C276" s="7">
        <v>45695</v>
      </c>
      <c r="D276" s="3">
        <v>2256</v>
      </c>
      <c r="E276" s="1">
        <v>4235.2</v>
      </c>
      <c r="F276" s="3" t="str">
        <f t="shared" si="7"/>
        <v>Injection</v>
      </c>
      <c r="G276" s="1">
        <v>480</v>
      </c>
      <c r="H276" s="2">
        <v>45695.659722222219</v>
      </c>
      <c r="I276" s="2">
        <v>45695.850694444445</v>
      </c>
      <c r="J276" s="1">
        <f t="shared" si="8"/>
        <v>4.5833333334303461</v>
      </c>
      <c r="K276" s="1">
        <v>104.72727272505603</v>
      </c>
      <c r="L276" s="1">
        <v>40</v>
      </c>
      <c r="M276" s="1">
        <v>30.5</v>
      </c>
      <c r="N276" s="3" t="s">
        <v>3</v>
      </c>
      <c r="O276" s="3" t="s">
        <v>1</v>
      </c>
      <c r="P276" s="8" t="s">
        <v>19</v>
      </c>
      <c r="Q276" s="2">
        <v>45695.841886574075</v>
      </c>
      <c r="R276" s="2">
        <v>45696.263298611113</v>
      </c>
      <c r="S276" s="1"/>
      <c r="T276" s="1" t="s">
        <v>87</v>
      </c>
      <c r="U276" s="1">
        <v>31748</v>
      </c>
      <c r="V276" s="1">
        <v>22316</v>
      </c>
      <c r="W276" s="1">
        <v>226</v>
      </c>
      <c r="X276" s="1">
        <v>665</v>
      </c>
      <c r="Y276" s="1">
        <v>12</v>
      </c>
    </row>
    <row r="277" spans="1:25" x14ac:dyDescent="0.25">
      <c r="A277" s="3">
        <v>267.10000000000002</v>
      </c>
      <c r="B277" s="3">
        <v>1</v>
      </c>
      <c r="C277" s="7">
        <v>45696</v>
      </c>
      <c r="D277" s="3">
        <v>2264</v>
      </c>
      <c r="E277" s="1">
        <v>4249.6000000000004</v>
      </c>
      <c r="F277" s="3" t="str">
        <f t="shared" si="7"/>
        <v>Injection</v>
      </c>
      <c r="G277" s="1">
        <f>5*40</f>
        <v>200</v>
      </c>
      <c r="H277" s="2">
        <v>45696.770833333336</v>
      </c>
      <c r="I277" s="2">
        <v>45696.871527777781</v>
      </c>
      <c r="J277" s="1">
        <f t="shared" si="8"/>
        <v>2.4166666666860692</v>
      </c>
      <c r="K277" s="1">
        <v>82.758620688990732</v>
      </c>
      <c r="L277" s="1">
        <v>40</v>
      </c>
      <c r="M277" s="1">
        <v>172</v>
      </c>
      <c r="N277" s="3" t="s">
        <v>5</v>
      </c>
      <c r="O277" s="3" t="s">
        <v>1</v>
      </c>
      <c r="P277" s="8"/>
      <c r="Q277" s="2">
        <v>45696.856550925928</v>
      </c>
      <c r="R277" s="2">
        <v>45697.060682870368</v>
      </c>
      <c r="S277" s="1"/>
      <c r="T277" s="1" t="s">
        <v>87</v>
      </c>
      <c r="U277" s="1">
        <v>15485</v>
      </c>
      <c r="V277" s="1">
        <v>11244</v>
      </c>
      <c r="W277" s="1">
        <v>113</v>
      </c>
      <c r="X277" s="1">
        <v>333</v>
      </c>
      <c r="Y277" s="1">
        <v>5</v>
      </c>
    </row>
    <row r="278" spans="1:25" x14ac:dyDescent="0.25">
      <c r="A278" s="3">
        <v>267.2</v>
      </c>
      <c r="B278" s="3">
        <v>2</v>
      </c>
      <c r="C278" s="7">
        <v>45698</v>
      </c>
      <c r="D278" s="3">
        <v>2264</v>
      </c>
      <c r="E278" s="1">
        <v>4249.6000000000004</v>
      </c>
      <c r="F278" s="3" t="str">
        <f t="shared" si="7"/>
        <v>Injection</v>
      </c>
      <c r="G278" s="1">
        <f>14*40</f>
        <v>560</v>
      </c>
      <c r="H278" s="2">
        <v>45698.311111111114</v>
      </c>
      <c r="I278" s="2">
        <v>45698.538194444445</v>
      </c>
      <c r="J278" s="1">
        <f t="shared" si="8"/>
        <v>5.4499999999534339</v>
      </c>
      <c r="K278" s="1">
        <v>102.75229357885959</v>
      </c>
      <c r="L278" s="1">
        <v>40</v>
      </c>
      <c r="M278" s="1">
        <v>172</v>
      </c>
      <c r="N278" s="3" t="s">
        <v>5</v>
      </c>
      <c r="O278" s="3" t="s">
        <v>1</v>
      </c>
      <c r="P278" s="8"/>
      <c r="Q278" s="2">
        <v>45698.547974537039</v>
      </c>
      <c r="R278" s="2">
        <v>45698.941493055558</v>
      </c>
      <c r="S278" s="1"/>
      <c r="T278" s="1" t="s">
        <v>87</v>
      </c>
      <c r="U278" s="1">
        <v>23518</v>
      </c>
      <c r="V278" s="1">
        <v>17241</v>
      </c>
      <c r="W278" s="1">
        <v>177</v>
      </c>
      <c r="X278" s="1">
        <v>523</v>
      </c>
      <c r="Y278" s="1">
        <v>14</v>
      </c>
    </row>
    <row r="279" spans="1:25" x14ac:dyDescent="0.25">
      <c r="A279" s="3">
        <v>268</v>
      </c>
      <c r="C279" s="7">
        <v>45699</v>
      </c>
      <c r="D279" s="3">
        <v>2274</v>
      </c>
      <c r="E279" s="1">
        <v>4267.17</v>
      </c>
      <c r="F279" s="3" t="s">
        <v>2</v>
      </c>
      <c r="G279" s="1">
        <v>760</v>
      </c>
      <c r="H279" s="2">
        <v>45699.45</v>
      </c>
      <c r="I279" s="2">
        <v>45699.719444444447</v>
      </c>
      <c r="J279" s="1">
        <f t="shared" si="8"/>
        <v>6.466666666790843</v>
      </c>
      <c r="K279" s="1">
        <v>117.5257731936195</v>
      </c>
      <c r="L279" s="1">
        <v>40</v>
      </c>
      <c r="M279" s="1">
        <v>71</v>
      </c>
      <c r="N279" s="3" t="s">
        <v>5</v>
      </c>
      <c r="O279" s="3" t="s">
        <v>1</v>
      </c>
      <c r="P279" s="8"/>
      <c r="Q279" s="2">
        <v>45699.731898148151</v>
      </c>
      <c r="R279" s="2">
        <v>45700.264733796299</v>
      </c>
      <c r="S279" s="1"/>
      <c r="T279" s="1" t="s">
        <v>87</v>
      </c>
      <c r="U279" s="1">
        <v>45198</v>
      </c>
      <c r="V279" s="1">
        <v>31731</v>
      </c>
      <c r="W279" s="1">
        <v>326</v>
      </c>
      <c r="X279" s="1">
        <v>959</v>
      </c>
      <c r="Y279" s="1">
        <v>19</v>
      </c>
    </row>
    <row r="280" spans="1:25" x14ac:dyDescent="0.25">
      <c r="A280" s="3">
        <v>269</v>
      </c>
      <c r="C280" s="7">
        <v>45700</v>
      </c>
      <c r="D280" s="3">
        <v>2284</v>
      </c>
      <c r="E280" s="1">
        <v>4285.17</v>
      </c>
      <c r="F280" s="3" t="s">
        <v>2</v>
      </c>
      <c r="G280" s="1">
        <v>717.2</v>
      </c>
      <c r="H280" s="2">
        <v>45700.680555555555</v>
      </c>
      <c r="I280" s="2">
        <v>45700.909722222219</v>
      </c>
      <c r="J280" s="1">
        <f t="shared" si="8"/>
        <v>5.4999999999417923</v>
      </c>
      <c r="K280" s="1">
        <v>130.40000000138005</v>
      </c>
      <c r="L280" s="1">
        <v>40</v>
      </c>
      <c r="M280" s="1">
        <v>18</v>
      </c>
      <c r="N280" s="3" t="s">
        <v>3</v>
      </c>
      <c r="O280" s="3" t="s">
        <v>1</v>
      </c>
      <c r="P280" s="8" t="s">
        <v>7</v>
      </c>
      <c r="Q280" s="2">
        <v>45700.839583333334</v>
      </c>
      <c r="R280" s="2">
        <v>45700.982638888891</v>
      </c>
      <c r="S280" s="1"/>
      <c r="T280" s="1" t="s">
        <v>87</v>
      </c>
      <c r="U280" s="1">
        <v>11277</v>
      </c>
      <c r="V280" s="1">
        <v>8031</v>
      </c>
      <c r="W280" s="1">
        <v>81</v>
      </c>
      <c r="X280" s="1">
        <v>238</v>
      </c>
      <c r="Y280" s="1">
        <v>18</v>
      </c>
    </row>
    <row r="281" spans="1:25" x14ac:dyDescent="0.25">
      <c r="A281" s="3">
        <v>270</v>
      </c>
      <c r="C281" s="7">
        <v>45701</v>
      </c>
      <c r="D281" s="3">
        <v>2298</v>
      </c>
      <c r="E281" s="1">
        <v>4310.3599999999997</v>
      </c>
      <c r="F281" s="3" t="s">
        <v>2</v>
      </c>
      <c r="G281" s="1">
        <v>456</v>
      </c>
      <c r="H281" s="2">
        <v>45701.690972222219</v>
      </c>
      <c r="I281" s="2">
        <v>45702.03125</v>
      </c>
      <c r="J281" s="1">
        <f t="shared" si="8"/>
        <v>8.1666666667442769</v>
      </c>
      <c r="K281" s="1">
        <v>55.836734693346919</v>
      </c>
      <c r="L281" s="1">
        <v>40</v>
      </c>
      <c r="M281" s="1">
        <v>6</v>
      </c>
      <c r="N281" s="3" t="s">
        <v>3</v>
      </c>
      <c r="O281" s="3" t="s">
        <v>1</v>
      </c>
      <c r="P281" s="8" t="s">
        <v>33</v>
      </c>
      <c r="Q281" s="2">
        <v>45702.013356481482</v>
      </c>
      <c r="R281" s="2">
        <v>45702.141956018517</v>
      </c>
      <c r="S281" s="1"/>
      <c r="T281" s="1" t="s">
        <v>87</v>
      </c>
      <c r="U281" s="1">
        <v>9766</v>
      </c>
      <c r="V281" s="1">
        <v>7531</v>
      </c>
      <c r="W281" s="1">
        <v>75</v>
      </c>
      <c r="X281" s="1">
        <v>193</v>
      </c>
      <c r="Y281" s="1">
        <v>12</v>
      </c>
    </row>
    <row r="282" spans="1:25" x14ac:dyDescent="0.25">
      <c r="A282" s="3">
        <v>271</v>
      </c>
      <c r="C282" s="7">
        <v>45703</v>
      </c>
      <c r="D282" s="3">
        <v>2304</v>
      </c>
      <c r="E282" s="1">
        <v>4321.1400000000003</v>
      </c>
      <c r="F282" s="3" t="s">
        <v>2</v>
      </c>
      <c r="G282" s="1">
        <v>440</v>
      </c>
      <c r="H282" s="2">
        <v>45703.072916666664</v>
      </c>
      <c r="I282" s="2">
        <v>45703.208333333336</v>
      </c>
      <c r="J282" s="1">
        <f t="shared" si="8"/>
        <v>3.2500000001164153</v>
      </c>
      <c r="K282" s="1">
        <v>135.3846153797659</v>
      </c>
      <c r="L282" s="1">
        <v>40</v>
      </c>
      <c r="M282" s="1">
        <v>3</v>
      </c>
      <c r="N282" s="3" t="s">
        <v>3</v>
      </c>
      <c r="O282" s="3" t="s">
        <v>1</v>
      </c>
      <c r="P282" s="8" t="s">
        <v>7</v>
      </c>
      <c r="Q282" s="2">
        <v>45703.219108796293</v>
      </c>
      <c r="R282" s="2">
        <v>45703.268252314818</v>
      </c>
      <c r="S282" s="1"/>
      <c r="T282" s="1" t="s">
        <v>87</v>
      </c>
      <c r="U282" s="1">
        <v>3782</v>
      </c>
      <c r="V282" s="1">
        <v>2841</v>
      </c>
      <c r="W282" s="1">
        <v>29</v>
      </c>
      <c r="X282" s="1">
        <v>85</v>
      </c>
      <c r="Y282" s="1">
        <v>11</v>
      </c>
    </row>
    <row r="283" spans="1:25" x14ac:dyDescent="0.25">
      <c r="A283" s="3">
        <v>272</v>
      </c>
      <c r="C283" s="7">
        <v>45705</v>
      </c>
      <c r="D283" s="3">
        <v>2318</v>
      </c>
      <c r="E283" s="1">
        <v>4346.38</v>
      </c>
      <c r="F283" s="3" t="s">
        <v>2</v>
      </c>
      <c r="G283" s="1">
        <v>480</v>
      </c>
      <c r="H283" s="2">
        <v>45705.298611111109</v>
      </c>
      <c r="I283" s="2">
        <v>45705.451388888891</v>
      </c>
      <c r="J283" s="1">
        <f t="shared" si="8"/>
        <v>3.6666666667442769</v>
      </c>
      <c r="K283" s="1">
        <v>130.90909090632005</v>
      </c>
      <c r="L283" s="1">
        <v>40</v>
      </c>
      <c r="M283" s="1">
        <v>5</v>
      </c>
      <c r="N283" s="3" t="s">
        <v>5</v>
      </c>
      <c r="O283" s="3" t="s">
        <v>1</v>
      </c>
      <c r="P283" s="8" t="s">
        <v>8</v>
      </c>
      <c r="Q283" s="2">
        <v>45705.448888888888</v>
      </c>
      <c r="R283" s="2">
        <v>45705.583622685182</v>
      </c>
      <c r="S283" s="1"/>
      <c r="T283" s="1" t="s">
        <v>87</v>
      </c>
      <c r="U283" s="1">
        <v>8718</v>
      </c>
      <c r="V283" s="1">
        <v>6432</v>
      </c>
      <c r="W283" s="1">
        <v>64</v>
      </c>
      <c r="X283" s="1">
        <v>191</v>
      </c>
      <c r="Y283" s="1">
        <v>12</v>
      </c>
    </row>
    <row r="284" spans="1:25" x14ac:dyDescent="0.25">
      <c r="A284" s="3">
        <v>273</v>
      </c>
      <c r="C284" s="7">
        <v>45708</v>
      </c>
      <c r="D284" s="3">
        <v>2332</v>
      </c>
      <c r="E284" s="1">
        <v>4372.9399999999996</v>
      </c>
      <c r="F284" s="3" t="s">
        <v>2</v>
      </c>
      <c r="G284" s="1">
        <v>473.5</v>
      </c>
      <c r="H284" s="2">
        <v>45708.645833333336</v>
      </c>
      <c r="I284" s="2">
        <v>45708.895833333336</v>
      </c>
      <c r="J284" s="1">
        <f t="shared" si="8"/>
        <v>6</v>
      </c>
      <c r="K284" s="1">
        <v>78.916666666666671</v>
      </c>
      <c r="L284" s="1">
        <v>40</v>
      </c>
      <c r="M284" s="1">
        <v>8</v>
      </c>
      <c r="N284" s="3" t="s">
        <v>3</v>
      </c>
      <c r="O284" s="3" t="s">
        <v>1</v>
      </c>
      <c r="P284" s="8" t="s">
        <v>7</v>
      </c>
      <c r="Q284" s="2">
        <v>45708.882592592592</v>
      </c>
      <c r="R284" s="2">
        <v>45709.211354166669</v>
      </c>
      <c r="S284" s="1"/>
      <c r="T284" s="1" t="s">
        <v>87</v>
      </c>
      <c r="U284" s="1">
        <v>20400</v>
      </c>
      <c r="V284" s="1">
        <v>16458</v>
      </c>
      <c r="W284" s="1">
        <v>165</v>
      </c>
      <c r="X284" s="1">
        <v>487</v>
      </c>
      <c r="Y284" s="1">
        <v>12</v>
      </c>
    </row>
    <row r="285" spans="1:25" x14ac:dyDescent="0.25">
      <c r="A285" s="3">
        <v>274</v>
      </c>
      <c r="C285" s="7">
        <v>45709</v>
      </c>
      <c r="D285" s="3">
        <v>2346</v>
      </c>
      <c r="E285" s="1">
        <v>4396.8100000000004</v>
      </c>
      <c r="F285" s="3" t="s">
        <v>2</v>
      </c>
      <c r="G285" s="1">
        <v>480</v>
      </c>
      <c r="H285" s="2">
        <v>45709.708333333336</v>
      </c>
      <c r="I285" s="2">
        <v>45709.895833333336</v>
      </c>
      <c r="J285" s="1">
        <f t="shared" si="8"/>
        <v>4.5</v>
      </c>
      <c r="K285" s="1">
        <v>106.66666666666667</v>
      </c>
      <c r="L285" s="1">
        <v>40</v>
      </c>
      <c r="M285" s="1">
        <v>2</v>
      </c>
      <c r="N285" s="3" t="s">
        <v>5</v>
      </c>
      <c r="O285" s="3" t="s">
        <v>1</v>
      </c>
      <c r="P285" s="8"/>
      <c r="Q285" s="2">
        <v>45709.868356481478</v>
      </c>
      <c r="R285" s="2">
        <v>45710.117511574077</v>
      </c>
      <c r="S285" s="1"/>
      <c r="T285" s="1" t="s">
        <v>87</v>
      </c>
      <c r="U285" s="1">
        <v>24217</v>
      </c>
      <c r="V285" s="1">
        <v>20348</v>
      </c>
      <c r="W285" s="1">
        <v>206</v>
      </c>
      <c r="X285" s="1">
        <v>606</v>
      </c>
      <c r="Y285" s="1">
        <v>12</v>
      </c>
    </row>
    <row r="286" spans="1:25" x14ac:dyDescent="0.25">
      <c r="A286" s="3">
        <v>275</v>
      </c>
      <c r="C286" s="7">
        <v>45710</v>
      </c>
      <c r="D286" s="3">
        <v>2360</v>
      </c>
      <c r="E286" s="1">
        <v>4422.7</v>
      </c>
      <c r="F286" s="3" t="s">
        <v>2</v>
      </c>
      <c r="G286" s="1">
        <v>480</v>
      </c>
      <c r="H286" s="2">
        <v>45710.666666666664</v>
      </c>
      <c r="I286" s="2">
        <v>45710.897222222222</v>
      </c>
      <c r="J286" s="1">
        <f t="shared" si="8"/>
        <v>5.53333333338378</v>
      </c>
      <c r="K286" s="1">
        <v>86.746987951016365</v>
      </c>
      <c r="L286" s="1">
        <v>40</v>
      </c>
      <c r="M286" s="1">
        <v>4</v>
      </c>
      <c r="N286" s="3" t="s">
        <v>3</v>
      </c>
      <c r="O286" s="3" t="s">
        <v>1</v>
      </c>
      <c r="P286" s="8" t="s">
        <v>7</v>
      </c>
      <c r="Q286" s="2">
        <v>45710.872534722221</v>
      </c>
      <c r="R286" s="2">
        <v>45710.961192129631</v>
      </c>
      <c r="S286" s="1"/>
      <c r="T286" s="1" t="s">
        <v>87</v>
      </c>
      <c r="U286" s="1">
        <v>8990</v>
      </c>
      <c r="V286" s="1">
        <v>7201</v>
      </c>
      <c r="W286" s="1">
        <v>72</v>
      </c>
      <c r="X286" s="1">
        <v>213</v>
      </c>
      <c r="Y286" s="1">
        <v>13</v>
      </c>
    </row>
    <row r="287" spans="1:25" x14ac:dyDescent="0.25">
      <c r="A287" s="3">
        <v>276</v>
      </c>
      <c r="C287" s="7">
        <v>45712</v>
      </c>
      <c r="D287" s="3">
        <v>2373</v>
      </c>
      <c r="E287" s="1">
        <v>4445.7</v>
      </c>
      <c r="F287" s="3" t="s">
        <v>2</v>
      </c>
      <c r="G287" s="1">
        <v>475</v>
      </c>
      <c r="H287" s="2">
        <v>45712.708333333336</v>
      </c>
      <c r="I287" s="2">
        <v>45712.913194444445</v>
      </c>
      <c r="J287" s="1">
        <f t="shared" si="8"/>
        <v>4.9166666666278616</v>
      </c>
      <c r="K287" s="1">
        <v>96.610169492287923</v>
      </c>
      <c r="L287" s="1">
        <v>40</v>
      </c>
      <c r="M287" s="1">
        <v>55</v>
      </c>
      <c r="N287" s="3" t="s">
        <v>3</v>
      </c>
      <c r="O287" s="3" t="s">
        <v>1</v>
      </c>
      <c r="P287" s="8" t="s">
        <v>38</v>
      </c>
      <c r="Q287" s="2">
        <v>45712.912395833337</v>
      </c>
      <c r="R287" s="2">
        <v>45713.163483796299</v>
      </c>
      <c r="S287" s="1"/>
      <c r="T287" s="1" t="s">
        <v>87</v>
      </c>
      <c r="U287" s="1">
        <v>24126</v>
      </c>
      <c r="V287" s="1">
        <v>19096</v>
      </c>
      <c r="W287" s="1">
        <v>198</v>
      </c>
      <c r="X287" s="1">
        <v>577</v>
      </c>
      <c r="Y287" s="1">
        <v>12</v>
      </c>
    </row>
    <row r="288" spans="1:25" x14ac:dyDescent="0.25">
      <c r="A288" s="3">
        <v>277</v>
      </c>
      <c r="C288" s="7">
        <v>45713</v>
      </c>
      <c r="D288" s="3">
        <v>2387</v>
      </c>
      <c r="E288" s="1">
        <v>4471.7</v>
      </c>
      <c r="F288" s="3" t="s">
        <v>2</v>
      </c>
      <c r="G288" s="1">
        <v>473</v>
      </c>
      <c r="H288" s="2">
        <v>45713.722222222219</v>
      </c>
      <c r="I288" s="2">
        <v>45713.922222222223</v>
      </c>
      <c r="J288" s="1">
        <f t="shared" si="8"/>
        <v>4.8000000001047738</v>
      </c>
      <c r="K288" s="1">
        <v>98.541666664515716</v>
      </c>
      <c r="L288" s="1">
        <v>40</v>
      </c>
      <c r="M288" s="1">
        <v>37</v>
      </c>
      <c r="N288" s="3" t="s">
        <v>3</v>
      </c>
      <c r="O288" s="3" t="s">
        <v>1</v>
      </c>
      <c r="P288" s="8" t="s">
        <v>24</v>
      </c>
      <c r="Q288" s="2">
        <v>45713.902951388889</v>
      </c>
      <c r="R288" s="2">
        <v>45714.439340277779</v>
      </c>
      <c r="S288" s="1"/>
      <c r="T288" s="1" t="s">
        <v>87</v>
      </c>
      <c r="U288" s="1">
        <v>48865</v>
      </c>
      <c r="V288" s="1">
        <v>39206</v>
      </c>
      <c r="W288" s="1">
        <v>409</v>
      </c>
      <c r="X288" s="1">
        <v>1205</v>
      </c>
      <c r="Y288" s="1">
        <v>12</v>
      </c>
    </row>
    <row r="289" spans="1:25" x14ac:dyDescent="0.25">
      <c r="A289" s="3">
        <v>278</v>
      </c>
      <c r="C289" s="7">
        <v>45714</v>
      </c>
      <c r="D289" s="3">
        <v>2401</v>
      </c>
      <c r="E289" s="1">
        <v>4496.6000000000004</v>
      </c>
      <c r="F289" s="3" t="s">
        <v>2</v>
      </c>
      <c r="G289" s="1">
        <v>436.44</v>
      </c>
      <c r="H289" s="2">
        <v>45714.894444444442</v>
      </c>
      <c r="I289" s="2">
        <v>45715.191666666666</v>
      </c>
      <c r="J289" s="1">
        <f t="shared" si="8"/>
        <v>7.1333333333604969</v>
      </c>
      <c r="K289" s="1">
        <v>61.183177569860476</v>
      </c>
      <c r="L289" s="1">
        <v>40</v>
      </c>
      <c r="M289" s="1">
        <v>205</v>
      </c>
      <c r="N289" s="3" t="s">
        <v>3</v>
      </c>
      <c r="O289" s="3" t="s">
        <v>1</v>
      </c>
      <c r="P289" s="8" t="s">
        <v>37</v>
      </c>
      <c r="Q289" s="2">
        <v>45715.184189814812</v>
      </c>
      <c r="R289" s="2">
        <v>45716.078912037039</v>
      </c>
      <c r="S289" s="1"/>
      <c r="T289" s="1" t="s">
        <v>87</v>
      </c>
      <c r="U289" s="1">
        <v>64148</v>
      </c>
      <c r="V289" s="1">
        <v>53399</v>
      </c>
      <c r="W289" s="1">
        <v>546</v>
      </c>
      <c r="X289" s="1">
        <v>1609</v>
      </c>
      <c r="Y289" s="1">
        <v>16</v>
      </c>
    </row>
    <row r="290" spans="1:25" x14ac:dyDescent="0.25">
      <c r="A290" s="3">
        <v>279</v>
      </c>
      <c r="C290" s="7">
        <v>45716</v>
      </c>
      <c r="D290" s="3">
        <v>2405</v>
      </c>
      <c r="E290" s="1">
        <v>4503.5600000000004</v>
      </c>
      <c r="F290" s="3" t="s">
        <v>2</v>
      </c>
      <c r="G290" s="1">
        <v>377.6</v>
      </c>
      <c r="H290" s="2">
        <v>45716.315972222219</v>
      </c>
      <c r="I290" s="2">
        <v>45716.486111111109</v>
      </c>
      <c r="J290" s="1">
        <f t="shared" si="8"/>
        <v>4.0833333333721384</v>
      </c>
      <c r="K290" s="1">
        <v>92.473469386876303</v>
      </c>
      <c r="L290" s="1">
        <v>32.6</v>
      </c>
      <c r="M290" s="1">
        <v>14</v>
      </c>
      <c r="N290" s="3" t="s">
        <v>5</v>
      </c>
      <c r="O290" s="3" t="s">
        <v>1</v>
      </c>
      <c r="P290" s="8"/>
      <c r="Q290" s="2">
        <v>45716.511238425926</v>
      </c>
      <c r="R290" s="2">
        <v>45716.678217592591</v>
      </c>
      <c r="S290" s="1"/>
      <c r="T290" s="1" t="s">
        <v>87</v>
      </c>
      <c r="U290" s="1">
        <v>9571</v>
      </c>
      <c r="V290" s="1">
        <v>6478</v>
      </c>
      <c r="W290" s="1">
        <v>65</v>
      </c>
      <c r="X290" s="1">
        <v>192</v>
      </c>
      <c r="Y290" s="1">
        <v>12</v>
      </c>
    </row>
    <row r="291" spans="1:25" x14ac:dyDescent="0.25">
      <c r="A291" s="3">
        <v>280</v>
      </c>
      <c r="C291" s="7">
        <v>45717</v>
      </c>
      <c r="D291" s="3">
        <v>2415</v>
      </c>
      <c r="E291" s="1">
        <v>4521</v>
      </c>
      <c r="F291" s="3" t="s">
        <v>2</v>
      </c>
      <c r="G291" s="1">
        <v>498.02</v>
      </c>
      <c r="H291" s="2">
        <v>45717.010416666664</v>
      </c>
      <c r="I291" s="2">
        <v>45717.263888888891</v>
      </c>
      <c r="J291" s="1">
        <f t="shared" si="8"/>
        <v>6.0833333334303461</v>
      </c>
      <c r="K291" s="1">
        <v>81.866301368557458</v>
      </c>
      <c r="L291" s="1">
        <v>40</v>
      </c>
      <c r="M291" s="1">
        <v>16.5</v>
      </c>
      <c r="N291" s="3" t="s">
        <v>5</v>
      </c>
      <c r="O291" s="3" t="s">
        <v>1</v>
      </c>
      <c r="P291" s="8"/>
      <c r="Q291" s="2">
        <v>45660.236284722225</v>
      </c>
      <c r="R291" s="2">
        <v>45660.369525462964</v>
      </c>
      <c r="S291" s="1"/>
      <c r="T291" s="1" t="s">
        <v>87</v>
      </c>
      <c r="U291" s="1">
        <v>9604</v>
      </c>
      <c r="V291" s="1">
        <v>7424</v>
      </c>
      <c r="W291" s="1">
        <v>80</v>
      </c>
      <c r="X291" s="1">
        <v>230</v>
      </c>
      <c r="Y291" s="1">
        <v>13</v>
      </c>
    </row>
    <row r="292" spans="1:25" x14ac:dyDescent="0.25">
      <c r="A292" s="3">
        <v>281</v>
      </c>
      <c r="C292" s="7">
        <v>45719</v>
      </c>
      <c r="D292" s="3">
        <v>2429</v>
      </c>
      <c r="E292" s="1">
        <v>4546</v>
      </c>
      <c r="F292" s="3" t="s">
        <v>2</v>
      </c>
      <c r="G292" s="1">
        <v>480</v>
      </c>
      <c r="H292" s="2">
        <v>45719.819444444445</v>
      </c>
      <c r="I292" s="2">
        <v>45719.989583333336</v>
      </c>
      <c r="J292" s="1">
        <f t="shared" si="8"/>
        <v>4.0833333333721384</v>
      </c>
      <c r="K292" s="1">
        <v>117.55102040704614</v>
      </c>
      <c r="L292" s="1">
        <v>40</v>
      </c>
      <c r="M292" s="1">
        <v>1</v>
      </c>
      <c r="N292" s="3" t="s">
        <v>3</v>
      </c>
      <c r="O292" s="3" t="s">
        <v>1</v>
      </c>
      <c r="P292" s="8" t="s">
        <v>24</v>
      </c>
      <c r="Q292" s="2">
        <v>45719.308587962965</v>
      </c>
      <c r="R292" s="2">
        <v>45719.45385416667</v>
      </c>
      <c r="S292" s="1"/>
      <c r="T292" s="1" t="s">
        <v>87</v>
      </c>
      <c r="U292" s="1">
        <v>11980</v>
      </c>
      <c r="V292" s="1">
        <v>9000</v>
      </c>
      <c r="W292" s="1">
        <v>90</v>
      </c>
      <c r="X292" s="1">
        <v>266</v>
      </c>
      <c r="Y292" s="1">
        <v>12</v>
      </c>
    </row>
    <row r="293" spans="1:25" x14ac:dyDescent="0.25">
      <c r="A293" s="3">
        <v>282</v>
      </c>
      <c r="C293" s="7">
        <v>45720</v>
      </c>
      <c r="D293" s="3">
        <v>2443</v>
      </c>
      <c r="E293" s="1">
        <v>4571</v>
      </c>
      <c r="F293" s="3" t="s">
        <v>2</v>
      </c>
      <c r="G293" s="1">
        <v>483.2</v>
      </c>
      <c r="H293" s="2">
        <v>45720.180555555555</v>
      </c>
      <c r="I293" s="2">
        <v>45720.465277777781</v>
      </c>
      <c r="J293" s="1">
        <f t="shared" si="8"/>
        <v>6.8333333334303461</v>
      </c>
      <c r="K293" s="1">
        <v>70.712195120947314</v>
      </c>
      <c r="L293" s="1">
        <v>40</v>
      </c>
      <c r="M293" s="1">
        <v>83</v>
      </c>
      <c r="N293" s="3" t="s">
        <v>5</v>
      </c>
      <c r="O293" s="3" t="s">
        <v>1</v>
      </c>
      <c r="P293" s="8"/>
      <c r="Q293" s="2">
        <v>45720.446238425924</v>
      </c>
      <c r="R293" s="2">
        <v>45720.710717592592</v>
      </c>
      <c r="S293" s="1"/>
      <c r="T293" s="1" t="s">
        <v>87</v>
      </c>
      <c r="U293" s="1">
        <v>27795</v>
      </c>
      <c r="V293" s="1">
        <v>21675</v>
      </c>
      <c r="W293" s="1">
        <v>224</v>
      </c>
      <c r="X293" s="1">
        <v>654</v>
      </c>
      <c r="Y293" s="1">
        <v>12</v>
      </c>
    </row>
    <row r="294" spans="1:25" x14ac:dyDescent="0.25">
      <c r="A294" s="3">
        <v>283</v>
      </c>
      <c r="C294" s="7">
        <v>45720</v>
      </c>
      <c r="D294" s="3">
        <v>2449</v>
      </c>
      <c r="E294" s="1">
        <v>4582</v>
      </c>
      <c r="F294" s="3" t="s">
        <v>2</v>
      </c>
      <c r="G294" s="1">
        <v>480</v>
      </c>
      <c r="H294" s="2">
        <v>45721.055555555555</v>
      </c>
      <c r="I294" s="2">
        <v>45721.229861111111</v>
      </c>
      <c r="J294" s="1">
        <f t="shared" si="8"/>
        <v>4.1833333333488554</v>
      </c>
      <c r="K294" s="1">
        <v>114.74103585614796</v>
      </c>
      <c r="L294" s="1">
        <v>40</v>
      </c>
      <c r="M294" s="1">
        <v>1</v>
      </c>
      <c r="N294" s="3" t="s">
        <v>5</v>
      </c>
      <c r="O294" s="3" t="s">
        <v>1</v>
      </c>
      <c r="P294" s="8"/>
      <c r="Q294" s="2">
        <v>45721.265127314815</v>
      </c>
      <c r="R294" s="2">
        <v>45721.575659722221</v>
      </c>
      <c r="S294" s="1"/>
      <c r="T294" s="1" t="s">
        <v>87</v>
      </c>
      <c r="U294" s="1">
        <v>19046</v>
      </c>
      <c r="V294" s="1">
        <v>14703</v>
      </c>
      <c r="W294" s="1">
        <v>150</v>
      </c>
      <c r="X294" s="1">
        <v>441</v>
      </c>
      <c r="Y294" s="1">
        <v>12</v>
      </c>
    </row>
    <row r="295" spans="1:25" x14ac:dyDescent="0.25">
      <c r="A295" s="3">
        <v>284</v>
      </c>
      <c r="C295" s="7">
        <v>45722</v>
      </c>
      <c r="D295" s="3">
        <v>2463</v>
      </c>
      <c r="E295" s="1">
        <v>4608</v>
      </c>
      <c r="F295" s="3" t="s">
        <v>2</v>
      </c>
      <c r="G295" s="1">
        <v>480</v>
      </c>
      <c r="H295" s="2">
        <v>45722.331944444442</v>
      </c>
      <c r="I295" s="2">
        <v>45722.475694444445</v>
      </c>
      <c r="J295" s="1">
        <f t="shared" si="8"/>
        <v>3.4500000000698492</v>
      </c>
      <c r="K295" s="1">
        <v>139.13043477979184</v>
      </c>
      <c r="L295" s="1">
        <v>40</v>
      </c>
      <c r="M295" s="1">
        <v>14</v>
      </c>
      <c r="N295" s="3" t="s">
        <v>3</v>
      </c>
      <c r="O295" s="3" t="s">
        <v>1</v>
      </c>
      <c r="P295" s="8" t="s">
        <v>39</v>
      </c>
      <c r="Q295" s="2">
        <v>45722.477187500001</v>
      </c>
      <c r="R295" s="2">
        <v>45722.863645833335</v>
      </c>
      <c r="S295" s="1"/>
      <c r="T295" s="1" t="s">
        <v>87</v>
      </c>
      <c r="U295" s="1">
        <v>25977</v>
      </c>
      <c r="V295" s="1">
        <v>19344</v>
      </c>
      <c r="W295" s="1">
        <v>196</v>
      </c>
      <c r="X295" s="1">
        <v>578</v>
      </c>
      <c r="Y295" s="1">
        <v>12</v>
      </c>
    </row>
    <row r="296" spans="1:25" x14ac:dyDescent="0.25">
      <c r="A296" s="3">
        <v>285</v>
      </c>
      <c r="C296" s="7">
        <v>45723</v>
      </c>
      <c r="D296" s="3">
        <v>2477</v>
      </c>
      <c r="E296" s="1">
        <v>4633</v>
      </c>
      <c r="F296" s="3" t="s">
        <v>2</v>
      </c>
      <c r="G296" s="1">
        <v>392.63</v>
      </c>
      <c r="H296" s="2">
        <v>45723.368055555555</v>
      </c>
      <c r="I296" s="2">
        <v>45723.605555555558</v>
      </c>
      <c r="J296" s="1">
        <f t="shared" si="8"/>
        <v>5.7000000000698492</v>
      </c>
      <c r="K296" s="1">
        <v>68.882456139506772</v>
      </c>
      <c r="L296" s="1">
        <v>40</v>
      </c>
      <c r="M296" s="1">
        <v>0</v>
      </c>
      <c r="N296" s="3" t="s">
        <v>3</v>
      </c>
      <c r="O296" s="3" t="s">
        <v>1</v>
      </c>
      <c r="P296" s="8" t="s">
        <v>24</v>
      </c>
      <c r="Q296" s="2">
        <v>45723.610277777778</v>
      </c>
      <c r="R296" s="2">
        <v>45723.678333333337</v>
      </c>
      <c r="S296" s="1"/>
      <c r="T296" s="1" t="s">
        <v>87</v>
      </c>
      <c r="U296" s="1">
        <v>2799</v>
      </c>
      <c r="V296" s="1">
        <v>2200</v>
      </c>
      <c r="W296" s="1">
        <v>22</v>
      </c>
      <c r="X296" s="1">
        <v>65</v>
      </c>
      <c r="Y296" s="1">
        <v>8</v>
      </c>
    </row>
    <row r="297" spans="1:25" x14ac:dyDescent="0.25">
      <c r="A297" s="3">
        <v>286</v>
      </c>
      <c r="C297" s="7">
        <v>45724</v>
      </c>
      <c r="D297" s="3">
        <v>2483</v>
      </c>
      <c r="E297" s="1">
        <v>4644</v>
      </c>
      <c r="F297" s="3" t="s">
        <v>2</v>
      </c>
      <c r="G297" s="1">
        <v>480</v>
      </c>
      <c r="H297" s="2">
        <v>45872.409722222219</v>
      </c>
      <c r="I297" s="2">
        <v>45872.626388888886</v>
      </c>
      <c r="J297" s="1">
        <f t="shared" si="8"/>
        <v>5.2000000000116415</v>
      </c>
      <c r="K297" s="1">
        <v>92.307692307485652</v>
      </c>
      <c r="L297" s="1">
        <v>40</v>
      </c>
      <c r="M297" s="1">
        <v>2</v>
      </c>
      <c r="N297" s="3" t="s">
        <v>3</v>
      </c>
      <c r="O297" s="3" t="s">
        <v>1</v>
      </c>
      <c r="P297" s="8" t="s">
        <v>24</v>
      </c>
      <c r="Q297" s="2">
        <v>45724.632777777777</v>
      </c>
      <c r="R297" s="2">
        <v>45725.008333333331</v>
      </c>
      <c r="S297" s="1"/>
      <c r="T297" s="1" t="s">
        <v>87</v>
      </c>
      <c r="U297" s="1">
        <v>32626</v>
      </c>
      <c r="V297" s="1">
        <v>24858.799999999999</v>
      </c>
      <c r="W297" s="1">
        <v>249.49999999999997</v>
      </c>
      <c r="X297" s="1">
        <v>735.9</v>
      </c>
      <c r="Y297" s="1">
        <v>12</v>
      </c>
    </row>
    <row r="298" spans="1:25" x14ac:dyDescent="0.25">
      <c r="A298" s="3">
        <v>287</v>
      </c>
      <c r="C298" s="7">
        <v>45726</v>
      </c>
      <c r="D298" s="3">
        <v>2497</v>
      </c>
      <c r="E298" s="1">
        <v>4669</v>
      </c>
      <c r="F298" s="3" t="s">
        <v>2</v>
      </c>
      <c r="G298" s="1">
        <v>480</v>
      </c>
      <c r="H298" s="2">
        <v>45726.8125</v>
      </c>
      <c r="I298" s="2">
        <v>45727.02847222222</v>
      </c>
      <c r="J298" s="1">
        <f t="shared" si="8"/>
        <v>5.1833333332906477</v>
      </c>
      <c r="K298" s="1">
        <v>92.604501608479652</v>
      </c>
      <c r="L298" s="1">
        <v>40</v>
      </c>
      <c r="M298" s="1">
        <v>3</v>
      </c>
      <c r="N298" s="3" t="s">
        <v>3</v>
      </c>
      <c r="O298" s="3" t="s">
        <v>1</v>
      </c>
      <c r="P298" s="8" t="s">
        <v>7</v>
      </c>
      <c r="Q298" s="2">
        <v>45727.02144675926</v>
      </c>
      <c r="R298" s="2">
        <v>45727.385578703703</v>
      </c>
      <c r="S298" s="1"/>
      <c r="T298" s="1" t="s">
        <v>87</v>
      </c>
      <c r="U298" s="1">
        <v>21221</v>
      </c>
      <c r="V298" s="1">
        <v>17326</v>
      </c>
      <c r="W298" s="1">
        <v>176</v>
      </c>
      <c r="X298" s="1">
        <v>398</v>
      </c>
      <c r="Y298" s="1">
        <v>12</v>
      </c>
    </row>
    <row r="299" spans="1:25" x14ac:dyDescent="0.25">
      <c r="A299" s="3">
        <v>288</v>
      </c>
      <c r="C299" s="7">
        <v>45729</v>
      </c>
      <c r="D299" s="3">
        <v>2511</v>
      </c>
      <c r="E299" s="1">
        <v>4694.2</v>
      </c>
      <c r="F299" s="3" t="s">
        <v>2</v>
      </c>
      <c r="G299" s="1">
        <v>391.2</v>
      </c>
      <c r="H299" s="2">
        <v>45729.595833333333</v>
      </c>
      <c r="I299" s="2">
        <v>45729.740277777775</v>
      </c>
      <c r="J299" s="1">
        <f t="shared" si="8"/>
        <v>3.46666666661622</v>
      </c>
      <c r="K299" s="1">
        <v>112.84615384779597</v>
      </c>
      <c r="L299" s="1">
        <v>40</v>
      </c>
      <c r="M299" s="1">
        <v>2</v>
      </c>
      <c r="N299" s="3" t="s">
        <v>5</v>
      </c>
      <c r="O299" s="3" t="s">
        <v>1</v>
      </c>
      <c r="P299" s="8"/>
      <c r="Q299" s="2">
        <v>45729.865972222222</v>
      </c>
      <c r="R299" s="2">
        <v>45730.011805555558</v>
      </c>
      <c r="S299" s="1"/>
      <c r="T299" s="1" t="s">
        <v>87</v>
      </c>
      <c r="U299" s="1">
        <v>12979</v>
      </c>
      <c r="V299" s="1">
        <v>9816</v>
      </c>
      <c r="W299" s="1">
        <v>100</v>
      </c>
      <c r="X299" s="1">
        <v>282</v>
      </c>
      <c r="Y299" s="1">
        <v>12</v>
      </c>
    </row>
    <row r="300" spans="1:25" x14ac:dyDescent="0.25">
      <c r="A300" s="3">
        <v>289</v>
      </c>
      <c r="C300" s="7">
        <v>45730</v>
      </c>
      <c r="D300" s="3">
        <v>2521</v>
      </c>
      <c r="E300" s="1">
        <v>4712.8</v>
      </c>
      <c r="F300" s="3" t="s">
        <v>2</v>
      </c>
      <c r="G300" s="1">
        <v>391.2</v>
      </c>
      <c r="H300" s="2">
        <v>45730.634027777778</v>
      </c>
      <c r="I300" s="2">
        <v>45730.770833333336</v>
      </c>
      <c r="J300" s="1">
        <f t="shared" si="8"/>
        <v>3.28333333338378</v>
      </c>
      <c r="K300" s="1">
        <v>119.14720811999678</v>
      </c>
      <c r="L300" s="1">
        <v>32.6</v>
      </c>
      <c r="M300" s="1">
        <v>1</v>
      </c>
      <c r="N300" s="3" t="s">
        <v>5</v>
      </c>
      <c r="O300" s="3" t="s">
        <v>1</v>
      </c>
      <c r="P300" s="8"/>
      <c r="Q300" s="2">
        <v>45730.763888888891</v>
      </c>
      <c r="R300" s="2">
        <v>45730.895833333336</v>
      </c>
      <c r="S300" s="1"/>
      <c r="T300" s="1" t="s">
        <v>87</v>
      </c>
      <c r="U300" s="1">
        <v>5686</v>
      </c>
      <c r="V300" s="1">
        <v>4289</v>
      </c>
      <c r="W300" s="1">
        <v>46</v>
      </c>
      <c r="X300" s="1">
        <v>119</v>
      </c>
      <c r="Y300" s="1">
        <v>12</v>
      </c>
    </row>
    <row r="301" spans="1:25" x14ac:dyDescent="0.25">
      <c r="A301" s="3">
        <v>290</v>
      </c>
      <c r="C301" s="7">
        <v>45731</v>
      </c>
      <c r="D301" s="3">
        <v>2531</v>
      </c>
      <c r="E301" s="1">
        <v>4730.2</v>
      </c>
      <c r="F301" s="3" t="s">
        <v>2</v>
      </c>
      <c r="G301" s="1">
        <v>391.2</v>
      </c>
      <c r="H301" s="2">
        <v>45731.291666666664</v>
      </c>
      <c r="I301" s="2">
        <v>45731.422222222223</v>
      </c>
      <c r="J301" s="1">
        <f t="shared" si="8"/>
        <v>3.1333333334187046</v>
      </c>
      <c r="K301" s="1">
        <v>124.85106382638553</v>
      </c>
      <c r="L301" s="1">
        <v>32.6</v>
      </c>
      <c r="M301" s="1">
        <v>0</v>
      </c>
      <c r="N301" s="3" t="s">
        <v>5</v>
      </c>
      <c r="O301" s="3" t="s">
        <v>1</v>
      </c>
      <c r="P301" s="8"/>
      <c r="Q301" s="2">
        <v>45731.431944444441</v>
      </c>
      <c r="R301" s="2">
        <v>45731.481249999997</v>
      </c>
      <c r="S301" s="1"/>
      <c r="T301" s="1" t="s">
        <v>87</v>
      </c>
      <c r="U301" s="1">
        <v>2619</v>
      </c>
      <c r="V301" s="1">
        <v>2381</v>
      </c>
      <c r="W301" s="1">
        <v>24</v>
      </c>
      <c r="X301" s="1">
        <v>59</v>
      </c>
      <c r="Y301" s="1">
        <v>12</v>
      </c>
    </row>
    <row r="302" spans="1:25" x14ac:dyDescent="0.25">
      <c r="A302" s="3">
        <v>291</v>
      </c>
      <c r="C302" s="7">
        <v>45731</v>
      </c>
      <c r="D302" s="3">
        <v>2541</v>
      </c>
      <c r="E302" s="1">
        <v>4748.2</v>
      </c>
      <c r="F302" s="3" t="s">
        <v>2</v>
      </c>
      <c r="G302" s="1">
        <v>391.2</v>
      </c>
      <c r="H302" s="2">
        <v>45731.864583333336</v>
      </c>
      <c r="I302" s="2">
        <v>45731.972222222219</v>
      </c>
      <c r="J302" s="1">
        <f t="shared" si="8"/>
        <v>2.5833333331975155</v>
      </c>
      <c r="K302" s="1">
        <v>151.43225807247762</v>
      </c>
      <c r="L302" s="1">
        <v>32.6</v>
      </c>
      <c r="M302" s="1">
        <v>1</v>
      </c>
      <c r="N302" s="3" t="s">
        <v>3</v>
      </c>
      <c r="O302" s="3" t="s">
        <v>1</v>
      </c>
      <c r="P302" s="8" t="s">
        <v>7</v>
      </c>
      <c r="Q302" s="2">
        <v>45731.972222222219</v>
      </c>
      <c r="R302" s="2">
        <v>45732.027083333334</v>
      </c>
      <c r="S302" s="1"/>
      <c r="T302" s="1" t="s">
        <v>87</v>
      </c>
      <c r="U302" s="1">
        <v>3273</v>
      </c>
      <c r="V302" s="1">
        <v>3000</v>
      </c>
      <c r="W302" s="1">
        <v>30</v>
      </c>
      <c r="X302" s="1">
        <v>71</v>
      </c>
      <c r="Y302" s="1">
        <v>12</v>
      </c>
    </row>
    <row r="303" spans="1:25" x14ac:dyDescent="0.25">
      <c r="A303" s="3">
        <v>292</v>
      </c>
      <c r="C303" s="7">
        <v>45733</v>
      </c>
      <c r="D303" s="3">
        <v>2551</v>
      </c>
      <c r="E303" s="1">
        <v>4766</v>
      </c>
      <c r="F303" s="3" t="s">
        <v>2</v>
      </c>
      <c r="G303" s="1">
        <v>356.6</v>
      </c>
      <c r="H303" s="2">
        <v>45733.6875</v>
      </c>
      <c r="I303" s="2">
        <v>45733.833333333336</v>
      </c>
      <c r="J303" s="1">
        <f t="shared" si="8"/>
        <v>3.5000000000582077</v>
      </c>
      <c r="K303" s="1">
        <v>101.88571428401985</v>
      </c>
      <c r="L303" s="1">
        <v>32.6</v>
      </c>
      <c r="M303" s="1">
        <v>4</v>
      </c>
      <c r="N303" s="3" t="s">
        <v>3</v>
      </c>
      <c r="O303" s="3" t="s">
        <v>1</v>
      </c>
      <c r="P303" s="8" t="s">
        <v>40</v>
      </c>
      <c r="Q303" s="2">
        <v>45733.820034722223</v>
      </c>
      <c r="R303" s="2">
        <v>45733.944120370368</v>
      </c>
      <c r="S303" s="1"/>
      <c r="T303" s="1" t="s">
        <v>87</v>
      </c>
      <c r="U303" s="1">
        <v>6952</v>
      </c>
      <c r="V303" s="1">
        <v>5303.4</v>
      </c>
      <c r="W303" s="1">
        <v>53.099999999999994</v>
      </c>
      <c r="X303" s="1">
        <v>156.19999999999996</v>
      </c>
      <c r="Y303" s="1">
        <v>12</v>
      </c>
    </row>
    <row r="304" spans="1:25" x14ac:dyDescent="0.25">
      <c r="A304" s="3">
        <v>293</v>
      </c>
      <c r="C304" s="7">
        <v>45734</v>
      </c>
      <c r="D304" s="3">
        <v>2561</v>
      </c>
      <c r="E304" s="1">
        <v>4784</v>
      </c>
      <c r="F304" s="3" t="s">
        <v>2</v>
      </c>
      <c r="G304" s="1">
        <v>423.8</v>
      </c>
      <c r="H304" s="2">
        <v>45734.270833333336</v>
      </c>
      <c r="I304" s="2">
        <v>45734.4375</v>
      </c>
      <c r="J304" s="1">
        <f t="shared" si="8"/>
        <v>3.9999999999417923</v>
      </c>
      <c r="K304" s="1">
        <v>105.95000000154178</v>
      </c>
      <c r="L304" s="1">
        <v>32.6</v>
      </c>
      <c r="M304" s="1">
        <v>9</v>
      </c>
      <c r="N304" s="3" t="s">
        <v>5</v>
      </c>
      <c r="O304" s="3" t="s">
        <v>1</v>
      </c>
      <c r="P304" s="8" t="s">
        <v>39</v>
      </c>
      <c r="Q304" s="2">
        <v>45734.457233796296</v>
      </c>
      <c r="R304" s="2">
        <v>45734.585219907407</v>
      </c>
      <c r="S304" s="1"/>
      <c r="T304" s="1" t="s">
        <v>87</v>
      </c>
      <c r="U304" s="1">
        <v>9088</v>
      </c>
      <c r="V304" s="1">
        <v>6811.8999999999987</v>
      </c>
      <c r="W304" s="1">
        <v>68.399999999999991</v>
      </c>
      <c r="X304" s="1">
        <v>110.39999999999996</v>
      </c>
      <c r="Y304" s="1">
        <v>13</v>
      </c>
    </row>
    <row r="305" spans="1:25" x14ac:dyDescent="0.25">
      <c r="A305" s="3">
        <v>294</v>
      </c>
      <c r="C305" s="7">
        <v>45735</v>
      </c>
      <c r="D305" s="3">
        <v>2571</v>
      </c>
      <c r="E305" s="1">
        <v>4802.2</v>
      </c>
      <c r="F305" s="3" t="s">
        <v>2</v>
      </c>
      <c r="G305" s="1">
        <v>391.2</v>
      </c>
      <c r="H305" s="2">
        <v>45734.944444444445</v>
      </c>
      <c r="I305" s="2">
        <v>45735.069444444445</v>
      </c>
      <c r="J305" s="1">
        <f t="shared" si="8"/>
        <v>3</v>
      </c>
      <c r="K305" s="1">
        <v>130.4</v>
      </c>
      <c r="L305" s="1">
        <v>32.6</v>
      </c>
      <c r="M305" s="1">
        <v>0</v>
      </c>
      <c r="N305" s="3" t="s">
        <v>3</v>
      </c>
      <c r="O305" s="3" t="s">
        <v>1</v>
      </c>
      <c r="P305" s="8" t="s">
        <v>29</v>
      </c>
      <c r="Q305" s="2">
        <v>45735.080474537041</v>
      </c>
      <c r="R305" s="2">
        <v>45735.123622685183</v>
      </c>
      <c r="S305" s="1"/>
      <c r="T305" s="1" t="s">
        <v>87</v>
      </c>
      <c r="U305" s="1">
        <v>1850</v>
      </c>
      <c r="V305" s="1">
        <v>1622.7999999999997</v>
      </c>
      <c r="W305" s="1">
        <v>16.200000000000003</v>
      </c>
      <c r="X305" s="1">
        <v>47.9</v>
      </c>
      <c r="Y305" s="1">
        <v>12</v>
      </c>
    </row>
    <row r="306" spans="1:25" x14ac:dyDescent="0.25">
      <c r="A306" s="3">
        <v>295</v>
      </c>
      <c r="C306" s="7">
        <v>45736</v>
      </c>
      <c r="D306" s="3">
        <v>2581</v>
      </c>
      <c r="E306" s="1">
        <v>4820.2</v>
      </c>
      <c r="F306" s="3" t="s">
        <v>2</v>
      </c>
      <c r="G306" s="1">
        <v>391.2</v>
      </c>
      <c r="H306" s="2">
        <v>45735.958333333336</v>
      </c>
      <c r="I306" s="2">
        <v>45736.068055555559</v>
      </c>
      <c r="J306" s="1">
        <f t="shared" si="8"/>
        <v>2.6333333333604969</v>
      </c>
      <c r="K306" s="1">
        <v>148.55696202378405</v>
      </c>
      <c r="L306" s="1">
        <v>32.6</v>
      </c>
      <c r="M306" s="1">
        <v>0</v>
      </c>
      <c r="N306" s="3" t="s">
        <v>3</v>
      </c>
      <c r="O306" s="3">
        <v>3</v>
      </c>
      <c r="P306" s="8" t="s">
        <v>29</v>
      </c>
      <c r="Q306" s="2">
        <v>45736.138726851852</v>
      </c>
      <c r="R306" s="2">
        <v>45736.216365740744</v>
      </c>
      <c r="S306" s="1"/>
      <c r="T306" s="1" t="s">
        <v>87</v>
      </c>
      <c r="U306" s="1">
        <v>4974</v>
      </c>
      <c r="V306" s="1">
        <v>4042.8</v>
      </c>
      <c r="W306" s="1">
        <v>40.4</v>
      </c>
      <c r="X306" s="1">
        <v>119.20000000000003</v>
      </c>
      <c r="Y306" s="1">
        <v>12</v>
      </c>
    </row>
    <row r="307" spans="1:25" x14ac:dyDescent="0.25">
      <c r="A307" s="3">
        <v>296</v>
      </c>
      <c r="C307" s="7">
        <v>45737</v>
      </c>
      <c r="D307" s="3">
        <v>2589</v>
      </c>
      <c r="E307" s="1">
        <v>4835</v>
      </c>
      <c r="F307" s="3" t="s">
        <v>2</v>
      </c>
      <c r="G307" s="1">
        <v>389.8</v>
      </c>
      <c r="H307" s="2">
        <v>45737.774305555555</v>
      </c>
      <c r="I307" s="2">
        <v>45737.927083333336</v>
      </c>
      <c r="J307" s="1">
        <f t="shared" si="8"/>
        <v>3.6666666667442769</v>
      </c>
      <c r="K307" s="1">
        <v>106.30909090684072</v>
      </c>
      <c r="L307" s="1">
        <v>32.6</v>
      </c>
      <c r="M307" s="1">
        <v>0</v>
      </c>
      <c r="N307" s="3" t="s">
        <v>3</v>
      </c>
      <c r="O307" s="3">
        <v>4</v>
      </c>
      <c r="P307" s="8" t="s">
        <v>29</v>
      </c>
      <c r="Q307" s="2">
        <v>45736.967916666668</v>
      </c>
      <c r="R307" s="2">
        <v>45737.016516203701</v>
      </c>
      <c r="S307" s="1"/>
      <c r="T307" s="1" t="s">
        <v>87</v>
      </c>
      <c r="U307" s="1">
        <v>2807</v>
      </c>
      <c r="V307" s="1">
        <v>2162.5000000000005</v>
      </c>
      <c r="W307" s="1">
        <v>21.7</v>
      </c>
      <c r="X307" s="1">
        <v>64</v>
      </c>
      <c r="Y307" s="1">
        <v>12</v>
      </c>
    </row>
    <row r="308" spans="1:25" x14ac:dyDescent="0.25">
      <c r="A308" s="3">
        <v>297</v>
      </c>
      <c r="C308" s="7">
        <v>45737</v>
      </c>
      <c r="D308" s="3">
        <v>2599</v>
      </c>
      <c r="E308" s="1">
        <v>4852.13</v>
      </c>
      <c r="F308" s="3" t="s">
        <v>2</v>
      </c>
      <c r="G308" s="1">
        <v>391.2</v>
      </c>
      <c r="H308" s="2">
        <v>45737.430555555555</v>
      </c>
      <c r="I308" s="2">
        <v>45737.534722222219</v>
      </c>
      <c r="J308" s="1">
        <f t="shared" si="8"/>
        <v>2.4999999999417923</v>
      </c>
      <c r="K308" s="1">
        <v>156.48000000364334</v>
      </c>
      <c r="L308" s="1">
        <v>32.6</v>
      </c>
      <c r="M308" s="1">
        <v>0</v>
      </c>
      <c r="N308" s="3" t="s">
        <v>3</v>
      </c>
      <c r="O308" s="3" t="s">
        <v>1</v>
      </c>
      <c r="P308" s="8" t="s">
        <v>29</v>
      </c>
      <c r="Q308" s="2">
        <v>45737.541562500002</v>
      </c>
      <c r="R308" s="2">
        <v>45737.632962962962</v>
      </c>
      <c r="S308" s="1"/>
      <c r="T308" s="1" t="s">
        <v>87</v>
      </c>
      <c r="U308" s="1">
        <v>7883</v>
      </c>
      <c r="V308" s="1">
        <v>5977.9</v>
      </c>
      <c r="W308" s="1">
        <v>59.8</v>
      </c>
      <c r="X308" s="1">
        <v>105.20000000000002</v>
      </c>
      <c r="Y308" s="1">
        <v>12</v>
      </c>
    </row>
    <row r="309" spans="1:25" x14ac:dyDescent="0.25">
      <c r="A309" s="3">
        <v>298</v>
      </c>
      <c r="C309" s="7">
        <v>45738</v>
      </c>
      <c r="D309" s="3">
        <v>2609</v>
      </c>
      <c r="E309" s="1">
        <v>4870.2299999999996</v>
      </c>
      <c r="F309" s="3" t="s">
        <v>2</v>
      </c>
      <c r="G309" s="1">
        <v>391.2</v>
      </c>
      <c r="H309" s="2">
        <v>45738.138194444444</v>
      </c>
      <c r="I309" s="2">
        <v>45738.261111111111</v>
      </c>
      <c r="J309" s="1">
        <f t="shared" si="8"/>
        <v>2.9500000000116415</v>
      </c>
      <c r="K309" s="1">
        <v>132.6101694910021</v>
      </c>
      <c r="L309" s="1">
        <v>32.6</v>
      </c>
      <c r="M309" s="1">
        <v>0</v>
      </c>
      <c r="N309" s="3" t="s">
        <v>3</v>
      </c>
      <c r="O309" s="3">
        <v>4</v>
      </c>
      <c r="P309" s="8" t="s">
        <v>29</v>
      </c>
      <c r="Q309" s="2">
        <v>45738.282719907409</v>
      </c>
      <c r="R309" s="2">
        <v>45738.38758101852</v>
      </c>
      <c r="S309" s="1"/>
      <c r="T309" s="1" t="s">
        <v>87</v>
      </c>
      <c r="U309" s="1">
        <v>11918</v>
      </c>
      <c r="V309" s="1">
        <v>9278.4</v>
      </c>
      <c r="W309" s="1">
        <v>95.7</v>
      </c>
      <c r="X309" s="1">
        <v>223.00000000000003</v>
      </c>
      <c r="Y309" s="1">
        <v>12</v>
      </c>
    </row>
    <row r="310" spans="1:25" x14ac:dyDescent="0.25">
      <c r="A310" s="3">
        <v>299</v>
      </c>
      <c r="C310" s="7">
        <v>45739</v>
      </c>
      <c r="D310" s="3">
        <v>2614</v>
      </c>
      <c r="E310" s="1">
        <v>4879.9399999999996</v>
      </c>
      <c r="F310" s="3" t="s">
        <v>2</v>
      </c>
      <c r="G310" s="1">
        <f>387.6-8.5*12</f>
        <v>285.60000000000002</v>
      </c>
      <c r="H310" s="2">
        <v>45738.739583333336</v>
      </c>
      <c r="I310" s="2">
        <v>45738.829861111109</v>
      </c>
      <c r="J310" s="1">
        <f t="shared" si="8"/>
        <v>2.1666666665696539</v>
      </c>
      <c r="K310" s="1">
        <v>131.81538462128668</v>
      </c>
      <c r="L310" s="1">
        <v>32.6</v>
      </c>
      <c r="M310" s="1">
        <v>0</v>
      </c>
      <c r="N310" s="3" t="s">
        <v>3</v>
      </c>
      <c r="O310" s="3" t="s">
        <v>1</v>
      </c>
      <c r="P310" s="8" t="s">
        <v>29</v>
      </c>
      <c r="Q310" s="2">
        <v>45738.84815972222</v>
      </c>
      <c r="R310" s="2">
        <v>45738.881238425929</v>
      </c>
      <c r="S310" s="1"/>
      <c r="T310" s="1" t="s">
        <v>87</v>
      </c>
      <c r="U310" s="1">
        <v>2302</v>
      </c>
      <c r="V310" s="1">
        <v>2083.3000000000002</v>
      </c>
      <c r="W310" s="1">
        <v>21.800000000000011</v>
      </c>
      <c r="X310" s="1">
        <v>64.5</v>
      </c>
      <c r="Y310" s="1">
        <v>12</v>
      </c>
    </row>
    <row r="311" spans="1:25" x14ac:dyDescent="0.25">
      <c r="A311" s="3">
        <v>300</v>
      </c>
      <c r="C311" s="7">
        <v>45741</v>
      </c>
      <c r="D311" s="3">
        <v>2624</v>
      </c>
      <c r="E311" s="1">
        <v>4898</v>
      </c>
      <c r="F311" s="3" t="s">
        <v>2</v>
      </c>
      <c r="G311" s="1">
        <v>400.19</v>
      </c>
      <c r="H311" s="2">
        <v>45740.722222222219</v>
      </c>
      <c r="I311" s="2">
        <v>45740.854166666664</v>
      </c>
      <c r="J311" s="1">
        <f t="shared" si="8"/>
        <v>3.1666666666860692</v>
      </c>
      <c r="K311" s="1">
        <v>126.37578947290989</v>
      </c>
      <c r="L311" s="1">
        <v>32.6</v>
      </c>
      <c r="M311" s="1">
        <v>0</v>
      </c>
      <c r="N311" s="3" t="s">
        <v>3</v>
      </c>
      <c r="O311" s="3" t="s">
        <v>1</v>
      </c>
      <c r="P311" s="8" t="s">
        <v>29</v>
      </c>
      <c r="Q311" s="2">
        <v>45740.843368055554</v>
      </c>
      <c r="R311" s="2">
        <v>45740.915451388886</v>
      </c>
      <c r="S311" s="1"/>
      <c r="T311" s="1" t="s">
        <v>88</v>
      </c>
      <c r="U311" s="1">
        <v>3020</v>
      </c>
      <c r="V311" s="1">
        <v>2151</v>
      </c>
      <c r="W311" s="1">
        <v>24</v>
      </c>
      <c r="X311" s="1">
        <v>69</v>
      </c>
      <c r="Y311" s="1">
        <v>12</v>
      </c>
    </row>
    <row r="312" spans="1:25" x14ac:dyDescent="0.25">
      <c r="A312" s="3">
        <v>301</v>
      </c>
      <c r="C312" s="7">
        <v>45743</v>
      </c>
      <c r="D312" s="3">
        <v>2635</v>
      </c>
      <c r="E312" s="1">
        <v>4917.5</v>
      </c>
      <c r="F312" s="3" t="s">
        <v>2</v>
      </c>
      <c r="G312" s="1">
        <v>389.4</v>
      </c>
      <c r="H312" s="2">
        <v>45742.458333333336</v>
      </c>
      <c r="I312" s="2">
        <v>45742.583333333336</v>
      </c>
      <c r="J312" s="1">
        <f t="shared" si="8"/>
        <v>3</v>
      </c>
      <c r="K312" s="1">
        <v>129.79999999999998</v>
      </c>
      <c r="L312" s="1">
        <v>32.6</v>
      </c>
      <c r="M312" s="1">
        <v>10</v>
      </c>
      <c r="N312" s="3" t="s">
        <v>3</v>
      </c>
      <c r="O312" s="3">
        <v>1</v>
      </c>
      <c r="P312" s="8" t="s">
        <v>29</v>
      </c>
      <c r="Q312" s="2">
        <v>45742.59710648148</v>
      </c>
      <c r="R312" s="2">
        <v>45742.749224537038</v>
      </c>
      <c r="S312" s="1"/>
      <c r="T312" s="1" t="s">
        <v>88</v>
      </c>
      <c r="U312" s="1">
        <v>8516</v>
      </c>
      <c r="V312" s="1">
        <v>5953</v>
      </c>
      <c r="W312" s="1">
        <v>59</v>
      </c>
      <c r="X312" s="1">
        <v>192</v>
      </c>
      <c r="Y312" s="1">
        <v>12</v>
      </c>
    </row>
    <row r="313" spans="1:25" x14ac:dyDescent="0.25">
      <c r="A313" s="3">
        <v>302</v>
      </c>
      <c r="C313" s="7">
        <v>45743</v>
      </c>
      <c r="D313" s="3">
        <v>2645</v>
      </c>
      <c r="E313" s="1">
        <v>4935.7</v>
      </c>
      <c r="F313" s="3" t="s">
        <v>2</v>
      </c>
      <c r="G313" s="1">
        <v>391.2</v>
      </c>
      <c r="H313" s="2">
        <v>45743.121527777781</v>
      </c>
      <c r="I313" s="2">
        <v>45743.291666666664</v>
      </c>
      <c r="J313" s="1">
        <f t="shared" si="8"/>
        <v>4.0833333331975155</v>
      </c>
      <c r="K313" s="1">
        <v>95.804081635839651</v>
      </c>
      <c r="L313" s="1">
        <v>32.6</v>
      </c>
      <c r="M313" s="1">
        <v>25</v>
      </c>
      <c r="N313" s="3" t="s">
        <v>3</v>
      </c>
      <c r="O313" s="3">
        <v>1</v>
      </c>
      <c r="P313" s="8" t="s">
        <v>29</v>
      </c>
      <c r="Q313" s="2">
        <v>45743.25582175926</v>
      </c>
      <c r="R313" s="2">
        <v>45743.681550925925</v>
      </c>
      <c r="S313" s="1"/>
      <c r="T313" s="1" t="s">
        <v>89</v>
      </c>
      <c r="U313" s="1">
        <v>31757</v>
      </c>
      <c r="V313" s="1">
        <v>26918</v>
      </c>
      <c r="W313" s="1">
        <v>281</v>
      </c>
      <c r="X313" s="1">
        <v>812</v>
      </c>
      <c r="Y313" s="1">
        <v>12</v>
      </c>
    </row>
    <row r="314" spans="1:25" x14ac:dyDescent="0.25">
      <c r="A314" s="3">
        <v>303</v>
      </c>
      <c r="C314" s="7">
        <v>45744</v>
      </c>
      <c r="D314" s="3">
        <v>2653</v>
      </c>
      <c r="E314" s="1">
        <v>4950</v>
      </c>
      <c r="F314" s="3" t="s">
        <v>2</v>
      </c>
      <c r="G314" s="1">
        <v>412.2</v>
      </c>
      <c r="H314" s="2">
        <v>45744.215277777781</v>
      </c>
      <c r="I314" s="2">
        <v>45744.424305555556</v>
      </c>
      <c r="J314" s="1">
        <f t="shared" si="8"/>
        <v>5.0166666666045785</v>
      </c>
      <c r="K314" s="1">
        <v>82.166112957827551</v>
      </c>
      <c r="L314" s="1">
        <v>32.6</v>
      </c>
      <c r="M314" s="1">
        <v>0</v>
      </c>
      <c r="N314" s="3" t="s">
        <v>3</v>
      </c>
      <c r="O314" s="3">
        <v>1</v>
      </c>
      <c r="P314" s="8" t="s">
        <v>29</v>
      </c>
      <c r="Q314" s="2">
        <v>45744.432997685188</v>
      </c>
      <c r="R314" s="2">
        <v>45744.507106481484</v>
      </c>
      <c r="S314" s="1"/>
      <c r="T314" s="1" t="s">
        <v>87</v>
      </c>
      <c r="U314" s="1">
        <v>1616</v>
      </c>
      <c r="V314" s="1">
        <v>1440</v>
      </c>
      <c r="W314" s="1">
        <v>15</v>
      </c>
      <c r="X314" s="1">
        <v>43</v>
      </c>
      <c r="Y314" s="1">
        <v>12</v>
      </c>
    </row>
    <row r="315" spans="1:25" x14ac:dyDescent="0.25">
      <c r="A315" s="3">
        <v>304</v>
      </c>
      <c r="C315" s="7">
        <v>45745</v>
      </c>
      <c r="D315" s="3">
        <v>2663</v>
      </c>
      <c r="E315" s="1">
        <v>4968</v>
      </c>
      <c r="F315" s="3" t="s">
        <v>2</v>
      </c>
      <c r="G315" s="1">
        <v>384.6</v>
      </c>
      <c r="H315" s="2">
        <v>45744.885416666664</v>
      </c>
      <c r="I315" s="2">
        <v>45745.036805555559</v>
      </c>
      <c r="J315" s="1">
        <f t="shared" si="8"/>
        <v>3.6333333334769122</v>
      </c>
      <c r="K315" s="1">
        <v>105.85321100499131</v>
      </c>
      <c r="L315" s="1">
        <v>32.6</v>
      </c>
      <c r="M315" s="1">
        <v>0</v>
      </c>
      <c r="N315" s="3" t="s">
        <v>3</v>
      </c>
      <c r="O315" s="3" t="s">
        <v>1</v>
      </c>
      <c r="P315" s="8" t="s">
        <v>29</v>
      </c>
      <c r="Q315" s="2">
        <v>45745.026597222219</v>
      </c>
      <c r="R315" s="2">
        <v>45745.322465277779</v>
      </c>
      <c r="S315" s="1"/>
      <c r="T315" s="1" t="s">
        <v>87</v>
      </c>
      <c r="U315" s="1">
        <v>19354</v>
      </c>
      <c r="V315" s="1">
        <v>14418</v>
      </c>
      <c r="W315" s="1">
        <v>153</v>
      </c>
      <c r="X315" s="1">
        <v>452</v>
      </c>
      <c r="Y315" s="1">
        <v>12</v>
      </c>
    </row>
    <row r="316" spans="1:25" x14ac:dyDescent="0.25">
      <c r="A316" s="3">
        <v>305</v>
      </c>
      <c r="C316" s="7">
        <v>45745</v>
      </c>
      <c r="D316" s="3">
        <v>2673</v>
      </c>
      <c r="E316" s="1">
        <v>4986</v>
      </c>
      <c r="F316" s="3" t="s">
        <v>2</v>
      </c>
      <c r="G316" s="1">
        <v>391.2</v>
      </c>
      <c r="H316" s="2">
        <v>45745.688888888886</v>
      </c>
      <c r="I316" s="2">
        <v>45745.84652777778</v>
      </c>
      <c r="J316" s="1">
        <f t="shared" si="8"/>
        <v>3.7833333334419876</v>
      </c>
      <c r="K316" s="1">
        <v>103.40088105429913</v>
      </c>
      <c r="L316" s="1">
        <v>32.6</v>
      </c>
      <c r="M316" s="1">
        <v>0</v>
      </c>
      <c r="N316" s="3" t="s">
        <v>3</v>
      </c>
      <c r="O316" s="3" t="s">
        <v>1</v>
      </c>
      <c r="P316" s="8" t="s">
        <v>29</v>
      </c>
      <c r="Q316" s="2">
        <v>45745.831620370373</v>
      </c>
      <c r="R316" s="2">
        <v>45745.938136574077</v>
      </c>
      <c r="S316" s="1"/>
      <c r="T316" s="1" t="s">
        <v>87</v>
      </c>
      <c r="U316" s="1">
        <v>9197</v>
      </c>
      <c r="V316" s="1">
        <v>7470</v>
      </c>
      <c r="W316" s="1">
        <v>77</v>
      </c>
      <c r="X316" s="1">
        <v>227</v>
      </c>
      <c r="Y316" s="1">
        <v>12</v>
      </c>
    </row>
    <row r="317" spans="1:25" x14ac:dyDescent="0.25">
      <c r="A317" s="3">
        <v>306</v>
      </c>
      <c r="C317" s="7">
        <v>45747</v>
      </c>
      <c r="D317" s="3">
        <v>2683</v>
      </c>
      <c r="E317" s="1">
        <v>5004</v>
      </c>
      <c r="F317" s="3" t="s">
        <v>2</v>
      </c>
      <c r="G317" s="1">
        <v>395.2</v>
      </c>
      <c r="H317" s="2">
        <v>45747.680555555555</v>
      </c>
      <c r="I317" s="2">
        <v>45747.829861111109</v>
      </c>
      <c r="J317" s="1">
        <f t="shared" si="8"/>
        <v>3.5833333333139308</v>
      </c>
      <c r="K317" s="1">
        <v>110.28837209362042</v>
      </c>
      <c r="L317" s="1">
        <v>32.6</v>
      </c>
      <c r="M317" s="1">
        <v>0</v>
      </c>
      <c r="N317" s="3" t="s">
        <v>3</v>
      </c>
      <c r="O317" s="3" t="s">
        <v>1</v>
      </c>
      <c r="P317" s="8" t="s">
        <v>29</v>
      </c>
      <c r="Q317" s="2">
        <v>45747.834351851852</v>
      </c>
      <c r="R317" s="2">
        <v>45748.172974537039</v>
      </c>
      <c r="S317" s="1"/>
      <c r="T317" s="1" t="s">
        <v>90</v>
      </c>
      <c r="U317" s="1">
        <v>15149</v>
      </c>
      <c r="V317" s="1">
        <f>3452.3+8603.6</f>
        <v>12055.900000000001</v>
      </c>
      <c r="W317" s="1">
        <v>131</v>
      </c>
      <c r="X317" s="1">
        <v>381</v>
      </c>
      <c r="Y317" s="1">
        <v>12</v>
      </c>
    </row>
    <row r="318" spans="1:25" x14ac:dyDescent="0.25">
      <c r="A318" s="3">
        <v>307</v>
      </c>
      <c r="C318" s="7">
        <v>45748</v>
      </c>
      <c r="D318" s="3">
        <v>2685</v>
      </c>
      <c r="E318" s="1">
        <v>5007.6000000000004</v>
      </c>
      <c r="F318" s="3" t="s">
        <v>9</v>
      </c>
      <c r="G318" s="1">
        <v>162</v>
      </c>
      <c r="H318" s="2">
        <v>45748.315972222219</v>
      </c>
      <c r="I318" s="2">
        <v>45748.354166666664</v>
      </c>
      <c r="J318" s="1">
        <f t="shared" si="8"/>
        <v>0.91666666668606922</v>
      </c>
      <c r="K318" s="1">
        <v>176.72727272353205</v>
      </c>
      <c r="L318" s="1">
        <v>27</v>
      </c>
      <c r="M318" s="1">
        <v>0</v>
      </c>
      <c r="N318" s="3" t="s">
        <v>3</v>
      </c>
      <c r="O318" s="3" t="s">
        <v>1</v>
      </c>
      <c r="P318" s="8" t="s">
        <v>29</v>
      </c>
      <c r="Q318" s="2">
        <v>45748.353182870371</v>
      </c>
      <c r="R318" s="2">
        <v>45748.398113425923</v>
      </c>
      <c r="S318" s="1"/>
      <c r="T318" s="1" t="s">
        <v>88</v>
      </c>
      <c r="U318" s="1">
        <v>1315</v>
      </c>
      <c r="V318" s="1">
        <v>1095</v>
      </c>
      <c r="W318" s="1">
        <v>11</v>
      </c>
      <c r="X318" s="1">
        <v>59</v>
      </c>
      <c r="Y318" s="1">
        <v>6</v>
      </c>
    </row>
    <row r="319" spans="1:25" x14ac:dyDescent="0.25">
      <c r="A319" s="3">
        <v>308</v>
      </c>
      <c r="C319" s="7">
        <v>45748</v>
      </c>
      <c r="D319" s="3">
        <v>2693</v>
      </c>
      <c r="E319" s="1">
        <v>5022</v>
      </c>
      <c r="F319" s="3" t="s">
        <v>2</v>
      </c>
      <c r="G319" s="1">
        <v>398.12</v>
      </c>
      <c r="H319" s="2">
        <v>45748.673611111109</v>
      </c>
      <c r="I319" s="2">
        <v>45748.834722222222</v>
      </c>
      <c r="J319" s="1">
        <f t="shared" si="8"/>
        <v>3.8666666666977108</v>
      </c>
      <c r="K319" s="1">
        <v>102.9620689646906</v>
      </c>
      <c r="L319" s="1">
        <v>32.6</v>
      </c>
      <c r="M319" s="1">
        <v>1.5</v>
      </c>
      <c r="N319" s="3" t="s">
        <v>3</v>
      </c>
      <c r="O319" s="3" t="s">
        <v>1</v>
      </c>
      <c r="P319" s="8" t="s">
        <v>29</v>
      </c>
      <c r="Q319" s="2">
        <v>45748.832291666666</v>
      </c>
      <c r="R319" s="2">
        <v>45748.96665509259</v>
      </c>
      <c r="S319" s="1"/>
      <c r="T319" s="1" t="s">
        <v>88</v>
      </c>
      <c r="U319" s="1">
        <v>10107</v>
      </c>
      <c r="V319" s="1">
        <v>7177</v>
      </c>
      <c r="W319" s="1">
        <v>72</v>
      </c>
      <c r="X319" s="1">
        <v>373</v>
      </c>
      <c r="Y319" s="1">
        <v>12</v>
      </c>
    </row>
    <row r="320" spans="1:25" x14ac:dyDescent="0.25">
      <c r="A320" s="3">
        <v>309</v>
      </c>
      <c r="C320" s="7">
        <v>45749</v>
      </c>
      <c r="D320" s="3">
        <v>2703</v>
      </c>
      <c r="E320" s="1">
        <v>5039.7</v>
      </c>
      <c r="F320" s="3" t="s">
        <v>2</v>
      </c>
      <c r="G320" s="1">
        <v>523.32000000000005</v>
      </c>
      <c r="H320" s="2">
        <v>45749.3125</v>
      </c>
      <c r="I320" s="2">
        <v>45749.534722222219</v>
      </c>
      <c r="J320" s="1">
        <f t="shared" si="8"/>
        <v>5.3333333332557231</v>
      </c>
      <c r="K320" s="1">
        <v>98.122500001427881</v>
      </c>
      <c r="L320" s="1">
        <v>32.6</v>
      </c>
      <c r="M320" s="1">
        <v>0</v>
      </c>
      <c r="N320" s="3" t="s">
        <v>3</v>
      </c>
      <c r="O320" s="3" t="s">
        <v>1</v>
      </c>
      <c r="P320" s="8" t="s">
        <v>29</v>
      </c>
      <c r="Q320" s="2">
        <v>45749.57439814815</v>
      </c>
      <c r="R320" s="2">
        <v>45749.689351851855</v>
      </c>
      <c r="S320" s="1"/>
      <c r="T320" s="1" t="s">
        <v>88</v>
      </c>
      <c r="U320" s="1">
        <v>9144</v>
      </c>
      <c r="V320" s="1">
        <v>6356</v>
      </c>
      <c r="W320" s="1">
        <v>64</v>
      </c>
      <c r="X320" s="1">
        <v>306</v>
      </c>
      <c r="Y320" s="1">
        <v>16</v>
      </c>
    </row>
    <row r="321" spans="1:25" x14ac:dyDescent="0.25">
      <c r="A321" s="3">
        <v>310</v>
      </c>
      <c r="C321" s="7">
        <v>45750</v>
      </c>
      <c r="D321" s="3">
        <v>2713</v>
      </c>
      <c r="E321" s="1">
        <v>5058</v>
      </c>
      <c r="F321" s="3" t="s">
        <v>2</v>
      </c>
      <c r="G321" s="1">
        <v>474.4</v>
      </c>
      <c r="H321" s="2">
        <v>45750.098611111112</v>
      </c>
      <c r="I321" s="2">
        <v>45750.550694444442</v>
      </c>
      <c r="J321" s="1">
        <f t="shared" si="8"/>
        <v>10.849999999918509</v>
      </c>
      <c r="K321" s="1">
        <v>43.723502304475858</v>
      </c>
      <c r="L321" s="1">
        <v>32.6</v>
      </c>
      <c r="M321" s="1">
        <v>0</v>
      </c>
      <c r="N321" s="3" t="s">
        <v>3</v>
      </c>
      <c r="O321" s="3" t="s">
        <v>1</v>
      </c>
      <c r="P321" s="8" t="s">
        <v>29</v>
      </c>
      <c r="Q321" s="2">
        <v>45750.524895833332</v>
      </c>
      <c r="R321" s="2">
        <v>45750.663391203707</v>
      </c>
      <c r="S321" s="1"/>
      <c r="T321" s="1" t="s">
        <v>88</v>
      </c>
      <c r="U321" s="1">
        <v>10794</v>
      </c>
      <c r="V321" s="1">
        <v>7433</v>
      </c>
      <c r="W321" s="1">
        <v>75</v>
      </c>
      <c r="X321" s="1">
        <v>369</v>
      </c>
      <c r="Y321" s="1">
        <v>16</v>
      </c>
    </row>
    <row r="322" spans="1:25" x14ac:dyDescent="0.25">
      <c r="A322" s="3">
        <v>311</v>
      </c>
      <c r="C322" s="7">
        <v>45751</v>
      </c>
      <c r="D322" s="3">
        <v>2721</v>
      </c>
      <c r="E322" s="1">
        <v>5072.2</v>
      </c>
      <c r="F322" s="3" t="s">
        <v>2</v>
      </c>
      <c r="G322" s="1">
        <v>626.1</v>
      </c>
      <c r="H322" s="2">
        <v>45751.091666666667</v>
      </c>
      <c r="I322" s="2">
        <v>45751.400694444441</v>
      </c>
      <c r="J322" s="1">
        <f t="shared" ref="J322:J385" si="9">(I322-H322)*24</f>
        <v>7.4166666665696539</v>
      </c>
      <c r="K322" s="1">
        <v>84.417977529194104</v>
      </c>
      <c r="L322" s="1">
        <v>32.6</v>
      </c>
      <c r="M322" s="1">
        <v>0.5</v>
      </c>
      <c r="N322" s="3" t="s">
        <v>3</v>
      </c>
      <c r="O322" s="3" t="s">
        <v>1</v>
      </c>
      <c r="P322" s="8" t="s">
        <v>29</v>
      </c>
      <c r="Q322" s="2">
        <v>45751.404826388891</v>
      </c>
      <c r="R322" s="2">
        <v>45751.555613425924</v>
      </c>
      <c r="S322" s="1"/>
      <c r="T322" s="1" t="s">
        <v>88</v>
      </c>
      <c r="U322" s="1">
        <v>12785</v>
      </c>
      <c r="V322" s="1">
        <v>9008</v>
      </c>
      <c r="W322" s="1">
        <v>90</v>
      </c>
      <c r="X322" s="1">
        <v>421</v>
      </c>
      <c r="Y322" s="1">
        <v>17</v>
      </c>
    </row>
    <row r="323" spans="1:25" x14ac:dyDescent="0.25">
      <c r="A323" s="3">
        <v>312</v>
      </c>
      <c r="C323" s="7">
        <v>45752</v>
      </c>
      <c r="D323" s="3">
        <v>2731</v>
      </c>
      <c r="E323" s="1">
        <v>5090.7</v>
      </c>
      <c r="F323" s="3" t="s">
        <v>2</v>
      </c>
      <c r="G323" s="1">
        <v>614.20000000000005</v>
      </c>
      <c r="H323" s="2">
        <v>45752.298611111109</v>
      </c>
      <c r="I323" s="2">
        <v>45752.668749999997</v>
      </c>
      <c r="J323" s="1">
        <f t="shared" si="9"/>
        <v>8.8833333333022892</v>
      </c>
      <c r="K323" s="1">
        <v>69.140712945832618</v>
      </c>
      <c r="L323" s="1">
        <v>32.6</v>
      </c>
      <c r="M323" s="1">
        <v>2</v>
      </c>
      <c r="N323" s="3" t="s">
        <v>3</v>
      </c>
      <c r="O323" s="3" t="s">
        <v>1</v>
      </c>
      <c r="P323" s="8" t="s">
        <v>29</v>
      </c>
      <c r="Q323" s="2">
        <v>45752.674872685187</v>
      </c>
      <c r="R323" s="2">
        <v>45752.781134259261</v>
      </c>
      <c r="S323" s="1"/>
      <c r="T323" s="1" t="s">
        <v>88</v>
      </c>
      <c r="U323" s="1">
        <v>8930</v>
      </c>
      <c r="V323" s="1">
        <v>6416.1999999999989</v>
      </c>
      <c r="W323" s="1">
        <v>65.599999999999994</v>
      </c>
      <c r="X323" s="1">
        <v>203.80000000000007</v>
      </c>
      <c r="Y323" s="1">
        <v>16</v>
      </c>
    </row>
    <row r="324" spans="1:25" x14ac:dyDescent="0.25">
      <c r="A324" s="3">
        <v>313</v>
      </c>
      <c r="C324" s="7">
        <v>45754</v>
      </c>
      <c r="D324" s="3">
        <v>2741</v>
      </c>
      <c r="E324" s="1">
        <v>5108.2</v>
      </c>
      <c r="F324" s="3" t="s">
        <v>2</v>
      </c>
      <c r="G324" s="1">
        <v>584.65</v>
      </c>
      <c r="H324" s="2">
        <v>45754.31527777778</v>
      </c>
      <c r="I324" s="2">
        <v>45754.536111111112</v>
      </c>
      <c r="J324" s="1">
        <f t="shared" si="9"/>
        <v>5.2999999999883585</v>
      </c>
      <c r="K324" s="1">
        <v>110.31132075495928</v>
      </c>
      <c r="L324" s="1">
        <v>32.6</v>
      </c>
      <c r="M324" s="1">
        <v>1.5</v>
      </c>
      <c r="N324" s="3" t="s">
        <v>3</v>
      </c>
      <c r="O324" s="3">
        <v>1</v>
      </c>
      <c r="P324" s="8" t="s">
        <v>29</v>
      </c>
      <c r="Q324" s="2">
        <v>45754.546620370369</v>
      </c>
      <c r="R324" s="2">
        <v>45754.821018518516</v>
      </c>
      <c r="S324" s="1"/>
      <c r="T324" s="1" t="s">
        <v>87</v>
      </c>
      <c r="U324" s="1">
        <v>14019</v>
      </c>
      <c r="V324" s="1">
        <v>10456.900000000001</v>
      </c>
      <c r="W324" s="1">
        <v>106.9</v>
      </c>
      <c r="X324" s="1">
        <v>315.2</v>
      </c>
      <c r="Y324" s="1">
        <v>18</v>
      </c>
    </row>
    <row r="325" spans="1:25" x14ac:dyDescent="0.25">
      <c r="A325" s="3">
        <v>314</v>
      </c>
      <c r="C325" s="7">
        <v>45755</v>
      </c>
      <c r="D325" s="3">
        <v>2749</v>
      </c>
      <c r="E325" s="1">
        <v>5122.6000000000004</v>
      </c>
      <c r="F325" s="3" t="s">
        <v>2</v>
      </c>
      <c r="G325" s="1">
        <v>393.64</v>
      </c>
      <c r="H325" s="2">
        <v>45755.359722222223</v>
      </c>
      <c r="I325" s="2">
        <v>45755.543749999997</v>
      </c>
      <c r="J325" s="1">
        <f t="shared" si="9"/>
        <v>4.4166666665696539</v>
      </c>
      <c r="K325" s="1">
        <v>89.126037737806726</v>
      </c>
      <c r="L325" s="1">
        <v>32.6</v>
      </c>
      <c r="M325" s="1">
        <v>0</v>
      </c>
      <c r="N325" s="3" t="s">
        <v>3</v>
      </c>
      <c r="O325" s="3" t="s">
        <v>1</v>
      </c>
      <c r="P325" s="8" t="s">
        <v>29</v>
      </c>
      <c r="Q325" s="2">
        <v>45755.57234953704</v>
      </c>
      <c r="R325" s="2">
        <v>45755.832384259258</v>
      </c>
      <c r="S325" s="1"/>
      <c r="T325" s="1" t="s">
        <v>87</v>
      </c>
      <c r="U325" s="1">
        <v>22373</v>
      </c>
      <c r="V325" s="1">
        <v>16905.599999999995</v>
      </c>
      <c r="W325" s="1">
        <v>170.60000000000002</v>
      </c>
      <c r="X325" s="1">
        <v>463.99999999999994</v>
      </c>
      <c r="Y325" s="1">
        <v>12</v>
      </c>
    </row>
    <row r="326" spans="1:25" x14ac:dyDescent="0.25">
      <c r="A326" s="3">
        <v>315</v>
      </c>
      <c r="C326" s="7">
        <v>45756</v>
      </c>
      <c r="D326" s="3">
        <v>2759</v>
      </c>
      <c r="E326" s="1">
        <v>5140</v>
      </c>
      <c r="F326" s="3" t="s">
        <v>2</v>
      </c>
      <c r="G326" s="1">
        <v>394</v>
      </c>
      <c r="H326" s="2">
        <v>45756.232638888891</v>
      </c>
      <c r="I326" s="2">
        <v>45756.354861111111</v>
      </c>
      <c r="J326" s="1">
        <f t="shared" si="9"/>
        <v>2.9333333332906477</v>
      </c>
      <c r="K326" s="1">
        <v>134.3181818201364</v>
      </c>
      <c r="L326" s="1">
        <v>32.6</v>
      </c>
      <c r="M326" s="1">
        <v>6</v>
      </c>
      <c r="N326" s="3" t="s">
        <v>3</v>
      </c>
      <c r="O326" s="3">
        <v>2</v>
      </c>
      <c r="P326" s="8" t="s">
        <v>29</v>
      </c>
      <c r="Q326" s="2">
        <v>45756.376944444448</v>
      </c>
      <c r="R326" s="2">
        <v>45756.625578703701</v>
      </c>
      <c r="S326" s="1"/>
      <c r="T326" s="1" t="s">
        <v>87</v>
      </c>
      <c r="U326" s="1">
        <v>14409</v>
      </c>
      <c r="V326" s="1">
        <v>11022.400000000001</v>
      </c>
      <c r="W326" s="1">
        <v>113.20000000000002</v>
      </c>
      <c r="X326" s="1">
        <v>332.60000000000008</v>
      </c>
      <c r="Y326" s="1">
        <v>12</v>
      </c>
    </row>
    <row r="327" spans="1:25" x14ac:dyDescent="0.25">
      <c r="A327" s="3">
        <v>316</v>
      </c>
      <c r="C327" s="7">
        <v>45757</v>
      </c>
      <c r="D327" s="3">
        <v>2769</v>
      </c>
      <c r="E327" s="1">
        <v>5158.1000000000004</v>
      </c>
      <c r="F327" s="3" t="s">
        <v>2</v>
      </c>
      <c r="G327" s="1">
        <v>406</v>
      </c>
      <c r="H327" s="2">
        <v>45757.006944444445</v>
      </c>
      <c r="I327" s="2">
        <v>45757.118055555555</v>
      </c>
      <c r="J327" s="1">
        <f t="shared" si="9"/>
        <v>2.6666666666278616</v>
      </c>
      <c r="K327" s="1">
        <v>152.25000000221553</v>
      </c>
      <c r="L327" s="1">
        <v>32.6</v>
      </c>
      <c r="M327" s="1">
        <v>5</v>
      </c>
      <c r="N327" s="3" t="s">
        <v>3</v>
      </c>
      <c r="O327" s="3" t="s">
        <v>1</v>
      </c>
      <c r="P327" s="8" t="s">
        <v>29</v>
      </c>
      <c r="Q327" s="2">
        <v>45757.127326388887</v>
      </c>
      <c r="R327" s="2">
        <v>45757.600601851853</v>
      </c>
      <c r="S327" s="1"/>
      <c r="T327" s="1" t="s">
        <v>87</v>
      </c>
      <c r="U327" s="1">
        <v>27246</v>
      </c>
      <c r="V327" s="1">
        <v>20401.599999999999</v>
      </c>
      <c r="W327" s="1">
        <v>206.7</v>
      </c>
      <c r="X327" s="1">
        <v>635.80000000000007</v>
      </c>
      <c r="Y327" s="1">
        <v>12</v>
      </c>
    </row>
    <row r="328" spans="1:25" x14ac:dyDescent="0.25">
      <c r="A328" s="3">
        <v>317</v>
      </c>
      <c r="C328" s="7">
        <v>45758</v>
      </c>
      <c r="D328" s="3">
        <v>2778</v>
      </c>
      <c r="E328" s="1">
        <v>5175</v>
      </c>
      <c r="F328" s="3" t="s">
        <v>2</v>
      </c>
      <c r="G328" s="1">
        <v>406</v>
      </c>
      <c r="H328" s="2">
        <v>45758.131944444445</v>
      </c>
      <c r="I328" s="2">
        <v>45758.293055555558</v>
      </c>
      <c r="J328" s="1">
        <f t="shared" si="9"/>
        <v>3.8666666666977108</v>
      </c>
      <c r="K328" s="1">
        <v>104.999999999157</v>
      </c>
      <c r="L328" s="1">
        <v>32.6</v>
      </c>
      <c r="M328" s="1">
        <v>6.5</v>
      </c>
      <c r="N328" s="3" t="s">
        <v>3</v>
      </c>
      <c r="O328" s="3" t="s">
        <v>1</v>
      </c>
      <c r="P328" s="8" t="s">
        <v>29</v>
      </c>
      <c r="Q328" s="2">
        <v>45758.218865740739</v>
      </c>
      <c r="R328" s="2">
        <v>45758.662118055552</v>
      </c>
      <c r="S328" s="1"/>
      <c r="T328" s="1" t="s">
        <v>87</v>
      </c>
      <c r="U328" s="1">
        <v>36346</v>
      </c>
      <c r="V328" s="1">
        <v>27506.6</v>
      </c>
      <c r="W328" s="1">
        <v>278.60000000000008</v>
      </c>
      <c r="X328" s="1">
        <v>1142.0999999999999</v>
      </c>
      <c r="Y328" s="1">
        <v>13</v>
      </c>
    </row>
    <row r="329" spans="1:25" x14ac:dyDescent="0.25">
      <c r="A329" s="3">
        <v>318</v>
      </c>
      <c r="C329" s="7">
        <v>45759</v>
      </c>
      <c r="D329" s="3">
        <v>2787</v>
      </c>
      <c r="E329" s="1">
        <v>5191</v>
      </c>
      <c r="F329" s="3" t="s">
        <v>2</v>
      </c>
      <c r="G329" s="1">
        <v>406</v>
      </c>
      <c r="H329" s="2">
        <v>45759.513194444444</v>
      </c>
      <c r="I329" s="2">
        <v>45759.673611111109</v>
      </c>
      <c r="J329" s="1">
        <f t="shared" si="9"/>
        <v>3.8499999999767169</v>
      </c>
      <c r="K329" s="1">
        <v>105.45454545518319</v>
      </c>
      <c r="L329" s="1">
        <v>32.6</v>
      </c>
      <c r="M329" s="1">
        <v>1</v>
      </c>
      <c r="N329" s="3" t="s">
        <v>3</v>
      </c>
      <c r="O329" s="3" t="s">
        <v>1</v>
      </c>
      <c r="P329" s="8" t="s">
        <v>29</v>
      </c>
      <c r="Q329" s="2">
        <v>45759.664236111108</v>
      </c>
      <c r="R329" s="2">
        <v>45759.769502314812</v>
      </c>
      <c r="S329" s="1"/>
      <c r="T329" s="1" t="s">
        <v>87</v>
      </c>
      <c r="U329" s="1">
        <v>11395</v>
      </c>
      <c r="V329" s="1">
        <v>8637.6</v>
      </c>
      <c r="W329" s="1">
        <v>87.9</v>
      </c>
      <c r="X329" s="1">
        <v>225.7</v>
      </c>
      <c r="Y329" s="1">
        <v>12</v>
      </c>
    </row>
    <row r="330" spans="1:25" x14ac:dyDescent="0.25">
      <c r="A330" s="3">
        <v>319</v>
      </c>
      <c r="C330" s="7">
        <v>45761</v>
      </c>
      <c r="D330" s="3">
        <v>2797</v>
      </c>
      <c r="E330" s="1">
        <v>5209.2</v>
      </c>
      <c r="F330" s="3" t="s">
        <v>2</v>
      </c>
      <c r="G330" s="1">
        <v>394</v>
      </c>
      <c r="H330" s="2">
        <v>45761.506944444445</v>
      </c>
      <c r="I330" s="2">
        <v>45761.607638888891</v>
      </c>
      <c r="J330" s="1">
        <f t="shared" si="9"/>
        <v>2.4166666666860692</v>
      </c>
      <c r="K330" s="1">
        <v>163.03448275731174</v>
      </c>
      <c r="L330" s="1">
        <v>32.6</v>
      </c>
      <c r="M330" s="1">
        <v>4</v>
      </c>
      <c r="N330" s="3" t="s">
        <v>3</v>
      </c>
      <c r="O330" s="3" t="s">
        <v>1</v>
      </c>
      <c r="P330" s="8" t="s">
        <v>29</v>
      </c>
      <c r="Q330" s="2">
        <v>45761.607847222222</v>
      </c>
      <c r="R330" s="2">
        <v>45761.741967592592</v>
      </c>
      <c r="S330" s="1"/>
      <c r="T330" s="1" t="s">
        <v>87</v>
      </c>
      <c r="U330" s="1">
        <v>9964</v>
      </c>
      <c r="V330" s="1">
        <v>7240</v>
      </c>
      <c r="W330" s="1">
        <v>75</v>
      </c>
      <c r="X330" s="1">
        <v>190</v>
      </c>
      <c r="Y330" s="1">
        <v>11</v>
      </c>
    </row>
    <row r="331" spans="1:25" x14ac:dyDescent="0.25">
      <c r="A331" s="3">
        <v>320</v>
      </c>
      <c r="C331" s="7">
        <v>45762</v>
      </c>
      <c r="D331" s="3">
        <v>2807</v>
      </c>
      <c r="E331" s="1">
        <v>5226.8999999999996</v>
      </c>
      <c r="F331" s="3" t="s">
        <v>2</v>
      </c>
      <c r="G331" s="1">
        <v>406</v>
      </c>
      <c r="H331" s="2">
        <v>45762.080555555556</v>
      </c>
      <c r="I331" s="2">
        <v>45762.227777777778</v>
      </c>
      <c r="J331" s="1">
        <f t="shared" si="9"/>
        <v>3.5333333333255723</v>
      </c>
      <c r="K331" s="1">
        <v>114.90566037761089</v>
      </c>
      <c r="L331" s="1">
        <v>32.6</v>
      </c>
      <c r="M331" s="1">
        <v>1</v>
      </c>
      <c r="N331" s="3" t="s">
        <v>3</v>
      </c>
      <c r="O331" s="3" t="s">
        <v>1</v>
      </c>
      <c r="P331" s="8" t="s">
        <v>29</v>
      </c>
      <c r="Q331" s="2">
        <v>45762.228715277779</v>
      </c>
      <c r="R331" s="2">
        <v>45762.338067129633</v>
      </c>
      <c r="S331" s="1"/>
      <c r="T331" s="1" t="s">
        <v>87</v>
      </c>
      <c r="U331" s="1">
        <v>7635</v>
      </c>
      <c r="V331" s="1">
        <v>5662</v>
      </c>
      <c r="W331" s="1">
        <v>61</v>
      </c>
      <c r="X331" s="1">
        <v>168</v>
      </c>
      <c r="Y331" s="1">
        <v>12</v>
      </c>
    </row>
    <row r="332" spans="1:25" x14ac:dyDescent="0.25">
      <c r="A332" s="3">
        <v>321</v>
      </c>
      <c r="C332" s="7">
        <v>45762</v>
      </c>
      <c r="D332" s="3">
        <v>2815</v>
      </c>
      <c r="E332" s="1">
        <v>5241.6000000000004</v>
      </c>
      <c r="F332" s="3" t="s">
        <v>2</v>
      </c>
      <c r="G332" s="1">
        <v>406</v>
      </c>
      <c r="H332" s="2">
        <v>45762.788194444445</v>
      </c>
      <c r="I332" s="2">
        <v>45762.892361111109</v>
      </c>
      <c r="J332" s="1">
        <f t="shared" si="9"/>
        <v>2.4999999999417923</v>
      </c>
      <c r="K332" s="1">
        <v>162.40000000378117</v>
      </c>
      <c r="L332" s="1">
        <v>32.6</v>
      </c>
      <c r="M332" s="1">
        <v>0</v>
      </c>
      <c r="N332" s="3" t="s">
        <v>3</v>
      </c>
      <c r="O332" s="3" t="s">
        <v>1</v>
      </c>
      <c r="P332" s="8" t="s">
        <v>7</v>
      </c>
      <c r="Q332" s="2">
        <v>45762.899942129632</v>
      </c>
      <c r="R332" s="2">
        <v>45762.951006944444</v>
      </c>
      <c r="S332" s="1"/>
      <c r="T332" s="1" t="s">
        <v>87</v>
      </c>
      <c r="U332" s="1">
        <v>3968</v>
      </c>
      <c r="V332" s="1">
        <v>3879</v>
      </c>
      <c r="W332" s="1">
        <v>39</v>
      </c>
      <c r="X332" s="1">
        <v>115</v>
      </c>
      <c r="Y332" s="1">
        <v>12</v>
      </c>
    </row>
    <row r="333" spans="1:25" x14ac:dyDescent="0.25">
      <c r="A333" s="3">
        <v>322</v>
      </c>
      <c r="C333" s="7">
        <v>45768</v>
      </c>
      <c r="D333" s="3">
        <v>2825</v>
      </c>
      <c r="E333" s="1">
        <v>5260.5</v>
      </c>
      <c r="F333" s="3" t="s">
        <v>2</v>
      </c>
      <c r="G333" s="1">
        <v>391.2</v>
      </c>
      <c r="H333" s="2">
        <v>45769.279166666667</v>
      </c>
      <c r="I333" s="2">
        <v>45769.386805555558</v>
      </c>
      <c r="J333" s="1">
        <f t="shared" si="9"/>
        <v>2.5833333333721384</v>
      </c>
      <c r="K333" s="1">
        <v>151.4322580622414</v>
      </c>
      <c r="L333" s="1">
        <v>32.6</v>
      </c>
      <c r="M333" s="1">
        <v>0</v>
      </c>
      <c r="N333" s="3" t="s">
        <v>3</v>
      </c>
      <c r="O333" s="3">
        <v>2</v>
      </c>
      <c r="P333" s="8" t="s">
        <v>7</v>
      </c>
      <c r="Q333" s="2">
        <v>45769.401423611111</v>
      </c>
      <c r="R333" s="2">
        <v>45769.544027777774</v>
      </c>
      <c r="S333" s="1"/>
      <c r="T333" s="1" t="s">
        <v>87</v>
      </c>
      <c r="U333" s="1">
        <v>9007</v>
      </c>
      <c r="V333" s="1">
        <v>6951</v>
      </c>
      <c r="W333" s="1">
        <v>72</v>
      </c>
      <c r="X333" s="1">
        <v>212</v>
      </c>
      <c r="Y333" s="1">
        <v>12</v>
      </c>
    </row>
    <row r="334" spans="1:25" x14ac:dyDescent="0.25">
      <c r="A334" s="3">
        <v>323</v>
      </c>
      <c r="C334" s="7">
        <v>45769</v>
      </c>
      <c r="D334" s="3">
        <v>2835</v>
      </c>
      <c r="E334" s="1">
        <v>5277.5</v>
      </c>
      <c r="F334" s="3" t="s">
        <v>2</v>
      </c>
      <c r="G334" s="1">
        <v>406</v>
      </c>
      <c r="H334" s="2">
        <v>45769.826388888891</v>
      </c>
      <c r="I334" s="2">
        <v>45769.957638888889</v>
      </c>
      <c r="J334" s="1">
        <f t="shared" si="9"/>
        <v>3.1499999999650754</v>
      </c>
      <c r="K334" s="1">
        <v>128.8888888903179</v>
      </c>
      <c r="L334" s="1">
        <v>32.6</v>
      </c>
      <c r="M334" s="1">
        <v>0</v>
      </c>
      <c r="N334" s="3" t="s">
        <v>3</v>
      </c>
      <c r="O334" s="3" t="s">
        <v>1</v>
      </c>
      <c r="P334" s="8" t="s">
        <v>7</v>
      </c>
      <c r="Q334" s="2">
        <v>45769.954062500001</v>
      </c>
      <c r="R334" s="2">
        <v>45770.021979166668</v>
      </c>
      <c r="S334" s="1"/>
      <c r="T334" s="1" t="s">
        <v>87</v>
      </c>
      <c r="U334" s="1">
        <v>2669</v>
      </c>
      <c r="V334" s="1">
        <v>1997</v>
      </c>
      <c r="W334" s="1">
        <v>20</v>
      </c>
      <c r="X334" s="1">
        <v>59</v>
      </c>
      <c r="Y334" s="1">
        <v>12</v>
      </c>
    </row>
    <row r="335" spans="1:25" x14ac:dyDescent="0.25">
      <c r="A335" s="3">
        <v>324</v>
      </c>
      <c r="C335" s="7">
        <v>45770</v>
      </c>
      <c r="D335" s="3">
        <v>2845</v>
      </c>
      <c r="E335" s="1">
        <v>5295.5</v>
      </c>
      <c r="F335" s="3" t="s">
        <v>2</v>
      </c>
      <c r="G335" s="1">
        <v>391.2</v>
      </c>
      <c r="H335" s="2">
        <v>45770.414583333331</v>
      </c>
      <c r="I335" s="2">
        <v>45770.511111111111</v>
      </c>
      <c r="J335" s="1">
        <f t="shared" si="9"/>
        <v>2.3166666667093523</v>
      </c>
      <c r="K335" s="1">
        <v>168.86330934940659</v>
      </c>
      <c r="L335" s="1">
        <v>32.6</v>
      </c>
      <c r="M335" s="1">
        <v>3</v>
      </c>
      <c r="N335" s="3" t="s">
        <v>5</v>
      </c>
      <c r="O335" s="3">
        <v>1</v>
      </c>
      <c r="P335" s="8"/>
      <c r="Q335" s="2">
        <v>45770.517905092594</v>
      </c>
      <c r="R335" s="2">
        <v>45770.670856481483</v>
      </c>
      <c r="S335" s="1"/>
      <c r="T335" s="1" t="s">
        <v>87</v>
      </c>
      <c r="U335" s="1">
        <v>16517</v>
      </c>
      <c r="V335" s="1">
        <v>13004</v>
      </c>
      <c r="W335" s="1">
        <v>134</v>
      </c>
      <c r="X335" s="1">
        <v>397</v>
      </c>
      <c r="Y335" s="1">
        <v>12</v>
      </c>
    </row>
    <row r="336" spans="1:25" x14ac:dyDescent="0.25">
      <c r="A336" s="3">
        <v>325</v>
      </c>
      <c r="C336" s="7">
        <v>45771</v>
      </c>
      <c r="D336" s="3">
        <v>2855</v>
      </c>
      <c r="E336" s="1">
        <v>5313.5</v>
      </c>
      <c r="F336" s="3" t="s">
        <v>2</v>
      </c>
      <c r="G336" s="1">
        <v>378.6</v>
      </c>
      <c r="H336" s="2">
        <v>45771.03402777778</v>
      </c>
      <c r="I336" s="2">
        <v>45771.154166666667</v>
      </c>
      <c r="J336" s="1">
        <f t="shared" si="9"/>
        <v>2.8833333333022892</v>
      </c>
      <c r="K336" s="1">
        <v>131.30635838291664</v>
      </c>
      <c r="L336" s="1">
        <v>32.6</v>
      </c>
      <c r="M336" s="1">
        <v>4</v>
      </c>
      <c r="N336" s="3" t="s">
        <v>3</v>
      </c>
      <c r="O336" s="3">
        <v>1</v>
      </c>
      <c r="P336" s="8" t="s">
        <v>7</v>
      </c>
      <c r="Q336" s="2">
        <v>45771.164189814815</v>
      </c>
      <c r="R336" s="2">
        <v>45771.539166666669</v>
      </c>
      <c r="S336" s="1"/>
      <c r="T336" s="1" t="s">
        <v>87</v>
      </c>
      <c r="U336" s="1">
        <v>28344</v>
      </c>
      <c r="V336" s="1">
        <v>22660</v>
      </c>
      <c r="W336" s="1">
        <v>232</v>
      </c>
      <c r="X336" s="1">
        <v>682</v>
      </c>
      <c r="Y336" s="1">
        <v>12</v>
      </c>
    </row>
    <row r="337" spans="1:25" x14ac:dyDescent="0.25">
      <c r="A337" s="3">
        <v>326</v>
      </c>
      <c r="C337" s="7">
        <v>45772</v>
      </c>
      <c r="D337" s="3">
        <v>2865</v>
      </c>
      <c r="E337" s="1">
        <v>5331.9</v>
      </c>
      <c r="F337" s="3" t="s">
        <v>2</v>
      </c>
      <c r="G337" s="1">
        <v>391.2</v>
      </c>
      <c r="H337" s="2">
        <v>45772.079861111109</v>
      </c>
      <c r="I337" s="2">
        <v>45772.246527777781</v>
      </c>
      <c r="J337" s="1">
        <f t="shared" si="9"/>
        <v>4.0000000001164153</v>
      </c>
      <c r="K337" s="1">
        <v>97.799999997153648</v>
      </c>
      <c r="L337" s="1">
        <v>32.6</v>
      </c>
      <c r="M337" s="1">
        <v>0</v>
      </c>
      <c r="N337" s="3" t="s">
        <v>3</v>
      </c>
      <c r="O337" s="3">
        <v>1</v>
      </c>
      <c r="P337" s="8" t="s">
        <v>7</v>
      </c>
      <c r="Q337" s="2">
        <v>45772.233946759261</v>
      </c>
      <c r="R337" s="2">
        <v>45772.432303240741</v>
      </c>
      <c r="S337" s="1"/>
      <c r="T337" s="1" t="s">
        <v>87</v>
      </c>
      <c r="U337" s="1">
        <v>13250</v>
      </c>
      <c r="V337" s="1">
        <v>10618</v>
      </c>
      <c r="W337" s="1">
        <v>109</v>
      </c>
      <c r="X337" s="1">
        <v>320</v>
      </c>
      <c r="Y337" s="1">
        <v>12</v>
      </c>
    </row>
    <row r="338" spans="1:25" x14ac:dyDescent="0.25">
      <c r="A338" s="3">
        <v>327</v>
      </c>
      <c r="C338" s="7">
        <v>45772</v>
      </c>
      <c r="D338" s="3">
        <v>2873</v>
      </c>
      <c r="E338" s="1">
        <v>5345</v>
      </c>
      <c r="F338" s="3" t="s">
        <v>2</v>
      </c>
      <c r="G338" s="1">
        <v>391.2</v>
      </c>
      <c r="H338" s="2">
        <v>45772.819444444445</v>
      </c>
      <c r="I338" s="2">
        <v>45772.959722222222</v>
      </c>
      <c r="J338" s="1">
        <f t="shared" si="9"/>
        <v>3.3666666666395031</v>
      </c>
      <c r="K338" s="1">
        <v>116.19801980291773</v>
      </c>
      <c r="L338" s="1">
        <v>32.6</v>
      </c>
      <c r="M338" s="1">
        <v>0</v>
      </c>
      <c r="N338" s="3" t="s">
        <v>3</v>
      </c>
      <c r="O338" s="3">
        <v>1</v>
      </c>
      <c r="P338" s="8" t="s">
        <v>7</v>
      </c>
      <c r="Q338" s="2">
        <v>45772.946296296293</v>
      </c>
      <c r="R338" s="2">
        <v>45773.087951388887</v>
      </c>
      <c r="S338" s="1"/>
      <c r="T338" s="1" t="s">
        <v>87</v>
      </c>
      <c r="U338" s="1">
        <v>12836</v>
      </c>
      <c r="V338" s="1">
        <v>9990</v>
      </c>
      <c r="W338" s="1">
        <v>102</v>
      </c>
      <c r="X338" s="1">
        <v>301</v>
      </c>
      <c r="Y338" s="1">
        <v>12</v>
      </c>
    </row>
    <row r="339" spans="1:25" x14ac:dyDescent="0.25">
      <c r="A339" s="3">
        <v>328</v>
      </c>
      <c r="C339" s="7">
        <v>45773</v>
      </c>
      <c r="D339" s="3">
        <v>2883</v>
      </c>
      <c r="E339" s="1">
        <v>5363.8</v>
      </c>
      <c r="F339" s="3" t="s">
        <v>2</v>
      </c>
      <c r="G339" s="1">
        <v>391.2</v>
      </c>
      <c r="H339" s="2">
        <v>45773.732638888891</v>
      </c>
      <c r="I339" s="2">
        <v>45773.850694444445</v>
      </c>
      <c r="J339" s="1">
        <f t="shared" si="9"/>
        <v>2.8333333333139308</v>
      </c>
      <c r="K339" s="1">
        <v>138.07058823623962</v>
      </c>
      <c r="L339" s="1">
        <v>32.6</v>
      </c>
      <c r="M339" s="1">
        <v>0</v>
      </c>
      <c r="N339" s="3" t="s">
        <v>3</v>
      </c>
      <c r="O339" s="3">
        <v>1</v>
      </c>
      <c r="P339" s="8" t="s">
        <v>7</v>
      </c>
      <c r="Q339" s="2">
        <v>45773.823055555556</v>
      </c>
      <c r="R339" s="2">
        <v>45773.94771990741</v>
      </c>
      <c r="S339" s="1"/>
      <c r="T339" s="1" t="s">
        <v>87</v>
      </c>
      <c r="U339" s="1">
        <v>8653</v>
      </c>
      <c r="V339" s="1">
        <v>6444</v>
      </c>
      <c r="W339" s="1">
        <v>66</v>
      </c>
      <c r="X339" s="1">
        <v>271</v>
      </c>
      <c r="Y339" s="1">
        <v>12</v>
      </c>
    </row>
    <row r="340" spans="1:25" x14ac:dyDescent="0.25">
      <c r="A340" s="3">
        <v>329</v>
      </c>
      <c r="C340" s="7">
        <v>45775</v>
      </c>
      <c r="D340" s="3">
        <v>2893</v>
      </c>
      <c r="E340" s="1">
        <v>5382</v>
      </c>
      <c r="F340" s="3" t="s">
        <v>2</v>
      </c>
      <c r="G340" s="1">
        <v>387.05</v>
      </c>
      <c r="H340" s="2">
        <v>45775.568749999999</v>
      </c>
      <c r="I340" s="2">
        <v>45775.725694444445</v>
      </c>
      <c r="J340" s="1">
        <f t="shared" si="9"/>
        <v>3.7666666667209938</v>
      </c>
      <c r="K340" s="1">
        <v>102.75663716665952</v>
      </c>
      <c r="L340" s="1">
        <v>32.6</v>
      </c>
      <c r="M340" s="1">
        <v>6</v>
      </c>
      <c r="N340" s="3" t="s">
        <v>5</v>
      </c>
      <c r="O340" s="3" t="s">
        <v>1</v>
      </c>
      <c r="P340" s="8"/>
      <c r="Q340" s="2">
        <v>45775.694293981483</v>
      </c>
      <c r="R340" s="2">
        <v>45776.030729166669</v>
      </c>
      <c r="S340" s="1"/>
      <c r="T340" s="1" t="s">
        <v>87</v>
      </c>
      <c r="U340" s="1">
        <v>26133</v>
      </c>
      <c r="V340" s="1">
        <v>19314</v>
      </c>
      <c r="W340" s="1">
        <v>194</v>
      </c>
      <c r="X340" s="1">
        <v>649</v>
      </c>
      <c r="Y340" s="1">
        <v>16</v>
      </c>
    </row>
    <row r="341" spans="1:25" x14ac:dyDescent="0.25">
      <c r="A341" s="3">
        <v>330</v>
      </c>
      <c r="C341" s="7">
        <v>45776</v>
      </c>
      <c r="D341" s="3">
        <v>2903</v>
      </c>
      <c r="E341" s="1">
        <v>5400</v>
      </c>
      <c r="F341" s="3" t="s">
        <v>2</v>
      </c>
      <c r="G341" s="1">
        <v>391.2</v>
      </c>
      <c r="H341" s="2">
        <v>45776.375</v>
      </c>
      <c r="I341" s="2">
        <v>45776.504861111112</v>
      </c>
      <c r="J341" s="1">
        <f t="shared" si="9"/>
        <v>3.1166666666977108</v>
      </c>
      <c r="K341" s="1">
        <v>125.51871657628985</v>
      </c>
      <c r="L341" s="1">
        <v>32.6</v>
      </c>
      <c r="M341" s="1">
        <v>0</v>
      </c>
      <c r="N341" s="3" t="s">
        <v>5</v>
      </c>
      <c r="O341" s="3" t="s">
        <v>1</v>
      </c>
      <c r="P341" s="8"/>
      <c r="Q341" s="2">
        <v>45776.490601851852</v>
      </c>
      <c r="R341" s="2">
        <v>45776.665983796294</v>
      </c>
      <c r="S341" s="1"/>
      <c r="T341" s="1" t="s">
        <v>91</v>
      </c>
      <c r="U341" s="1">
        <v>18480</v>
      </c>
      <c r="V341" s="1">
        <v>12271</v>
      </c>
      <c r="W341" s="1">
        <v>125</v>
      </c>
      <c r="X341" s="1">
        <v>270</v>
      </c>
      <c r="Y341" s="1">
        <v>12</v>
      </c>
    </row>
    <row r="342" spans="1:25" x14ac:dyDescent="0.25">
      <c r="A342" s="3">
        <v>331</v>
      </c>
      <c r="C342" s="7">
        <v>45777</v>
      </c>
      <c r="D342" s="3">
        <v>2913</v>
      </c>
      <c r="E342" s="1">
        <v>5418</v>
      </c>
      <c r="F342" s="3" t="s">
        <v>2</v>
      </c>
      <c r="G342" s="1">
        <v>391.48</v>
      </c>
      <c r="H342" s="2">
        <v>45777.009722222225</v>
      </c>
      <c r="I342" s="2">
        <v>45777.19027777778</v>
      </c>
      <c r="J342" s="1">
        <f t="shared" si="9"/>
        <v>4.3333333333139308</v>
      </c>
      <c r="K342" s="1">
        <v>90.341538461942974</v>
      </c>
      <c r="L342" s="1">
        <v>32.6</v>
      </c>
      <c r="M342" s="1">
        <v>6</v>
      </c>
      <c r="N342" s="3" t="s">
        <v>5</v>
      </c>
      <c r="O342" s="3" t="s">
        <v>1</v>
      </c>
      <c r="P342" s="8"/>
      <c r="Q342" s="2">
        <v>45777.15965277778</v>
      </c>
      <c r="R342" s="2">
        <v>45777.577326388891</v>
      </c>
      <c r="S342" s="1"/>
      <c r="T342" s="1" t="s">
        <v>87</v>
      </c>
      <c r="U342" s="1">
        <v>30814</v>
      </c>
      <c r="V342" s="1">
        <v>24632</v>
      </c>
      <c r="W342" s="1">
        <v>250</v>
      </c>
      <c r="X342" s="1">
        <v>754</v>
      </c>
      <c r="Y342" s="1">
        <v>12</v>
      </c>
    </row>
    <row r="343" spans="1:25" x14ac:dyDescent="0.25">
      <c r="A343" s="3">
        <v>332</v>
      </c>
      <c r="C343" s="7">
        <v>45779</v>
      </c>
      <c r="D343" s="3">
        <v>2923</v>
      </c>
      <c r="E343" s="1">
        <v>5436</v>
      </c>
      <c r="F343" s="3" t="s">
        <v>2</v>
      </c>
      <c r="G343" s="1">
        <v>391.2</v>
      </c>
      <c r="H343" s="2">
        <v>45777.887499999997</v>
      </c>
      <c r="I343" s="2">
        <v>45779.15</v>
      </c>
      <c r="J343" s="1">
        <f t="shared" si="9"/>
        <v>30.300000000104774</v>
      </c>
      <c r="K343" s="1">
        <v>139.71428570905772</v>
      </c>
      <c r="L343" s="1">
        <v>32.6</v>
      </c>
      <c r="M343" s="1">
        <v>1.5</v>
      </c>
      <c r="N343" s="3" t="s">
        <v>3</v>
      </c>
      <c r="O343" s="3" t="s">
        <v>1</v>
      </c>
      <c r="P343" s="8" t="s">
        <v>7</v>
      </c>
      <c r="Q343" s="2">
        <v>45779.155787037038</v>
      </c>
      <c r="R343" s="2">
        <v>45779.5862037037</v>
      </c>
      <c r="S343" s="1"/>
      <c r="T343" s="1" t="s">
        <v>87</v>
      </c>
      <c r="U343" s="1">
        <v>27651</v>
      </c>
      <c r="V343" s="1">
        <v>21445</v>
      </c>
      <c r="W343" s="1">
        <v>219</v>
      </c>
      <c r="X343" s="1">
        <v>606</v>
      </c>
      <c r="Y343" s="1">
        <v>12</v>
      </c>
    </row>
    <row r="344" spans="1:25" x14ac:dyDescent="0.25">
      <c r="A344" s="3">
        <v>333</v>
      </c>
      <c r="C344" s="7">
        <v>45780</v>
      </c>
      <c r="D344" s="3">
        <v>2931</v>
      </c>
      <c r="E344" s="1">
        <v>5450</v>
      </c>
      <c r="F344" s="3" t="s">
        <v>2</v>
      </c>
      <c r="G344" s="1">
        <v>391.2</v>
      </c>
      <c r="H344" s="2">
        <v>45779.935416666667</v>
      </c>
      <c r="I344" s="2">
        <v>45780.059027777781</v>
      </c>
      <c r="J344" s="1">
        <f t="shared" si="9"/>
        <v>2.9666666667326353</v>
      </c>
      <c r="K344" s="1">
        <v>131.86516853639361</v>
      </c>
      <c r="L344" s="1">
        <v>32.6</v>
      </c>
      <c r="M344" s="1">
        <v>0</v>
      </c>
      <c r="N344" s="3" t="s">
        <v>5</v>
      </c>
      <c r="O344" s="3" t="s">
        <v>1</v>
      </c>
      <c r="P344" s="8"/>
      <c r="Q344" s="2">
        <v>45780.061064814814</v>
      </c>
      <c r="R344" s="2">
        <v>45780.335046296299</v>
      </c>
      <c r="S344" s="1"/>
      <c r="T344" s="1" t="s">
        <v>87</v>
      </c>
      <c r="U344" s="1">
        <v>20941</v>
      </c>
      <c r="V344" s="1">
        <v>16840</v>
      </c>
      <c r="W344" s="1">
        <v>171</v>
      </c>
      <c r="X344" s="1">
        <v>386</v>
      </c>
      <c r="Y344" s="1">
        <v>12</v>
      </c>
    </row>
    <row r="345" spans="1:25" x14ac:dyDescent="0.25">
      <c r="A345" s="3">
        <v>334</v>
      </c>
      <c r="C345" s="7">
        <v>45781</v>
      </c>
      <c r="D345" s="3">
        <v>2941</v>
      </c>
      <c r="E345" s="1">
        <v>5468.4</v>
      </c>
      <c r="F345" s="3" t="s">
        <v>2</v>
      </c>
      <c r="G345" s="1">
        <v>398</v>
      </c>
      <c r="H345" s="2">
        <v>45780.662499999999</v>
      </c>
      <c r="I345" s="2">
        <v>45780.790972222225</v>
      </c>
      <c r="J345" s="1">
        <f t="shared" si="9"/>
        <v>3.0833333334303461</v>
      </c>
      <c r="K345" s="1">
        <v>129.08108107701972</v>
      </c>
      <c r="L345" s="1">
        <v>32.6</v>
      </c>
      <c r="M345" s="1">
        <v>0</v>
      </c>
      <c r="N345" s="3" t="s">
        <v>5</v>
      </c>
      <c r="O345" s="3" t="s">
        <v>1</v>
      </c>
      <c r="P345" s="8"/>
      <c r="Q345" s="2">
        <v>45780.782488425924</v>
      </c>
      <c r="R345" s="2">
        <v>45781.033680555556</v>
      </c>
      <c r="S345" s="1"/>
      <c r="T345" s="1" t="s">
        <v>87</v>
      </c>
      <c r="U345" s="1">
        <v>20729</v>
      </c>
      <c r="V345" s="1">
        <v>16198.5</v>
      </c>
      <c r="W345" s="1">
        <v>167.69999999999996</v>
      </c>
      <c r="X345" s="1">
        <v>493.8</v>
      </c>
      <c r="Y345" s="1">
        <v>12</v>
      </c>
    </row>
    <row r="346" spans="1:25" x14ac:dyDescent="0.25">
      <c r="A346" s="3">
        <v>335</v>
      </c>
      <c r="C346" s="7">
        <v>45782</v>
      </c>
      <c r="D346" s="3">
        <v>2951</v>
      </c>
      <c r="E346" s="1">
        <v>5486.5</v>
      </c>
      <c r="F346" s="3" t="s">
        <v>2</v>
      </c>
      <c r="G346" s="1">
        <v>391.2</v>
      </c>
      <c r="H346" s="2">
        <v>45782.796527777777</v>
      </c>
      <c r="I346" s="2">
        <v>45782.913194444445</v>
      </c>
      <c r="J346" s="1">
        <f t="shared" si="9"/>
        <v>2.8000000000465661</v>
      </c>
      <c r="K346" s="1">
        <v>139.71428571196216</v>
      </c>
      <c r="L346" s="1">
        <v>32.6</v>
      </c>
      <c r="M346" s="1">
        <v>14</v>
      </c>
      <c r="N346" s="3" t="s">
        <v>3</v>
      </c>
      <c r="O346" s="3">
        <v>1</v>
      </c>
      <c r="P346" s="8" t="s">
        <v>7</v>
      </c>
      <c r="Q346" s="2">
        <v>45782.907638888886</v>
      </c>
      <c r="R346" s="2">
        <v>45783.12777777778</v>
      </c>
      <c r="S346" s="1"/>
      <c r="T346" s="1" t="s">
        <v>87</v>
      </c>
      <c r="U346" s="1">
        <v>26051</v>
      </c>
      <c r="V346" s="1">
        <v>19088</v>
      </c>
      <c r="W346" s="1">
        <v>193</v>
      </c>
      <c r="X346" s="1">
        <v>478</v>
      </c>
      <c r="Y346" s="1">
        <v>12</v>
      </c>
    </row>
    <row r="347" spans="1:25" x14ac:dyDescent="0.25">
      <c r="A347" s="3">
        <v>336</v>
      </c>
      <c r="C347" s="7">
        <v>45783</v>
      </c>
      <c r="D347" s="3">
        <v>2961</v>
      </c>
      <c r="E347" s="1">
        <v>5504</v>
      </c>
      <c r="F347" s="3" t="s">
        <v>2</v>
      </c>
      <c r="G347" s="1">
        <v>391.2</v>
      </c>
      <c r="H347" s="2">
        <v>45783.518750000003</v>
      </c>
      <c r="I347" s="2">
        <v>45783.670138888891</v>
      </c>
      <c r="J347" s="1">
        <f t="shared" si="9"/>
        <v>3.6333333333022892</v>
      </c>
      <c r="K347" s="1">
        <v>107.66972477156216</v>
      </c>
      <c r="L347" s="1">
        <v>32.6</v>
      </c>
      <c r="M347" s="1">
        <v>18.5</v>
      </c>
      <c r="N347" s="3" t="s">
        <v>5</v>
      </c>
      <c r="O347" s="3" t="s">
        <v>1</v>
      </c>
      <c r="P347" s="8"/>
      <c r="Q347" s="2">
        <v>45783.670138888891</v>
      </c>
      <c r="R347" s="2">
        <v>45783.928472222222</v>
      </c>
      <c r="S347" s="1"/>
      <c r="T347" s="1" t="s">
        <v>87</v>
      </c>
      <c r="U347" s="1">
        <v>26419</v>
      </c>
      <c r="V347" s="1">
        <v>19888</v>
      </c>
      <c r="W347" s="1">
        <v>199</v>
      </c>
      <c r="X347" s="1">
        <v>523</v>
      </c>
      <c r="Y347" s="1">
        <v>12</v>
      </c>
    </row>
    <row r="348" spans="1:25" x14ac:dyDescent="0.25">
      <c r="A348" s="3">
        <v>337</v>
      </c>
      <c r="C348" s="7">
        <v>45784</v>
      </c>
      <c r="D348" s="3">
        <v>2971</v>
      </c>
      <c r="E348" s="1">
        <v>5522.5</v>
      </c>
      <c r="F348" s="3" t="s">
        <v>2</v>
      </c>
      <c r="G348" s="1">
        <v>391.2</v>
      </c>
      <c r="H348" s="2">
        <v>45784.263888888891</v>
      </c>
      <c r="I348" s="2">
        <v>45784.407638888886</v>
      </c>
      <c r="J348" s="1">
        <f t="shared" si="9"/>
        <v>3.4499999998952262</v>
      </c>
      <c r="K348" s="1">
        <v>113.39130435126968</v>
      </c>
      <c r="L348" s="1">
        <v>32.6</v>
      </c>
      <c r="M348" s="1">
        <v>20</v>
      </c>
      <c r="N348" s="3" t="s">
        <v>5</v>
      </c>
      <c r="O348" s="3" t="s">
        <v>1</v>
      </c>
      <c r="P348" s="8"/>
      <c r="Q348" s="2">
        <v>45784.415972222225</v>
      </c>
      <c r="R348" s="2">
        <v>45785.00277777778</v>
      </c>
      <c r="S348" s="1"/>
      <c r="T348" s="1" t="s">
        <v>87</v>
      </c>
      <c r="U348" s="1">
        <v>34746</v>
      </c>
      <c r="V348" s="1">
        <v>26321</v>
      </c>
      <c r="W348" s="1">
        <v>274</v>
      </c>
      <c r="X348" s="1">
        <v>767</v>
      </c>
      <c r="Y348" s="1">
        <v>12</v>
      </c>
    </row>
    <row r="349" spans="1:25" x14ac:dyDescent="0.25">
      <c r="A349" s="3">
        <v>338</v>
      </c>
      <c r="C349" s="7">
        <v>45785</v>
      </c>
      <c r="D349" s="3">
        <v>2981</v>
      </c>
      <c r="E349" s="1">
        <v>5540</v>
      </c>
      <c r="F349" s="3" t="s">
        <v>2</v>
      </c>
      <c r="G349" s="1">
        <v>391.2</v>
      </c>
      <c r="H349" s="2">
        <v>45785.423611111109</v>
      </c>
      <c r="I349" s="2">
        <v>45785.535416666666</v>
      </c>
      <c r="J349" s="1">
        <f t="shared" si="9"/>
        <v>2.6833333333488554</v>
      </c>
      <c r="K349" s="1">
        <v>145.78881987493307</v>
      </c>
      <c r="L349" s="1">
        <v>32.6</v>
      </c>
      <c r="M349" s="1">
        <v>3</v>
      </c>
      <c r="N349" s="3" t="s">
        <v>5</v>
      </c>
      <c r="O349" s="3" t="s">
        <v>1</v>
      </c>
      <c r="P349" s="8"/>
      <c r="Q349" s="2">
        <v>45785.529131944444</v>
      </c>
      <c r="R349" s="2">
        <v>45785.987349537034</v>
      </c>
      <c r="S349" s="1"/>
      <c r="T349" s="1" t="s">
        <v>87</v>
      </c>
      <c r="U349" s="1">
        <v>37331</v>
      </c>
      <c r="V349" s="1">
        <v>29706</v>
      </c>
      <c r="W349" s="1">
        <v>302</v>
      </c>
      <c r="X349" s="1">
        <v>792</v>
      </c>
      <c r="Y349" s="1">
        <v>15</v>
      </c>
    </row>
    <row r="350" spans="1:25" x14ac:dyDescent="0.25">
      <c r="A350" s="3">
        <v>339</v>
      </c>
      <c r="C350" s="7">
        <v>45786</v>
      </c>
      <c r="D350" s="3">
        <v>2989</v>
      </c>
      <c r="E350" s="1">
        <v>5554</v>
      </c>
      <c r="F350" s="3" t="s">
        <v>2</v>
      </c>
      <c r="G350" s="1">
        <v>391.2</v>
      </c>
      <c r="H350" s="2">
        <v>45786.339583333334</v>
      </c>
      <c r="I350" s="2">
        <v>45786.445138888892</v>
      </c>
      <c r="J350" s="1">
        <f t="shared" si="9"/>
        <v>2.53333333338378</v>
      </c>
      <c r="K350" s="1">
        <v>154.42105262850393</v>
      </c>
      <c r="L350" s="1">
        <v>32.6</v>
      </c>
      <c r="M350" s="1">
        <v>0</v>
      </c>
      <c r="N350" s="3" t="s">
        <v>5</v>
      </c>
      <c r="O350" s="3" t="s">
        <v>1</v>
      </c>
      <c r="P350" s="8"/>
      <c r="Q350" s="2">
        <v>45786.45</v>
      </c>
      <c r="R350" s="2">
        <v>45786.612500000003</v>
      </c>
      <c r="S350" s="1"/>
      <c r="T350" s="1" t="s">
        <v>87</v>
      </c>
      <c r="U350" s="1">
        <v>13680</v>
      </c>
      <c r="V350" s="1">
        <v>10277</v>
      </c>
      <c r="W350" s="1">
        <v>107</v>
      </c>
      <c r="X350" s="1">
        <v>315</v>
      </c>
      <c r="Y350" s="1">
        <v>12</v>
      </c>
    </row>
    <row r="351" spans="1:25" x14ac:dyDescent="0.25">
      <c r="A351" s="3">
        <v>340</v>
      </c>
      <c r="C351" s="7">
        <v>45787</v>
      </c>
      <c r="D351" s="3">
        <v>2999</v>
      </c>
      <c r="E351" s="1">
        <v>5572</v>
      </c>
      <c r="F351" s="3" t="s">
        <v>2</v>
      </c>
      <c r="G351" s="1">
        <v>391.2</v>
      </c>
      <c r="H351" s="2">
        <v>45787.048611111109</v>
      </c>
      <c r="I351" s="2">
        <v>45787.173611111109</v>
      </c>
      <c r="J351" s="1">
        <f t="shared" si="9"/>
        <v>3</v>
      </c>
      <c r="K351" s="1">
        <v>130.4</v>
      </c>
      <c r="L351" s="1">
        <v>32.6</v>
      </c>
      <c r="M351" s="1">
        <v>13</v>
      </c>
      <c r="N351" s="3" t="s">
        <v>5</v>
      </c>
      <c r="O351" s="3" t="s">
        <v>1</v>
      </c>
      <c r="P351" s="8"/>
      <c r="Q351" s="2">
        <v>45787.169548611113</v>
      </c>
      <c r="R351" s="2">
        <v>45787.472291666665</v>
      </c>
      <c r="S351" s="1"/>
      <c r="T351" s="1" t="s">
        <v>87</v>
      </c>
      <c r="U351" s="1">
        <v>21669</v>
      </c>
      <c r="V351" s="1">
        <v>17487</v>
      </c>
      <c r="W351" s="1">
        <v>176</v>
      </c>
      <c r="X351" s="1">
        <v>476</v>
      </c>
      <c r="Y351" s="1">
        <v>12</v>
      </c>
    </row>
    <row r="352" spans="1:25" x14ac:dyDescent="0.25">
      <c r="A352" s="3">
        <v>341</v>
      </c>
      <c r="C352" s="7">
        <v>45787</v>
      </c>
      <c r="D352" s="3">
        <v>3009</v>
      </c>
      <c r="E352" s="1">
        <v>5590</v>
      </c>
      <c r="F352" s="3" t="s">
        <v>2</v>
      </c>
      <c r="G352" s="1">
        <v>391.2</v>
      </c>
      <c r="H352" s="2">
        <v>45787.805555555555</v>
      </c>
      <c r="I352" s="2">
        <v>45787.96875</v>
      </c>
      <c r="J352" s="1">
        <f t="shared" si="9"/>
        <v>3.9166666666860692</v>
      </c>
      <c r="K352" s="1">
        <v>99.880851063334987</v>
      </c>
      <c r="L352" s="1">
        <v>32.6</v>
      </c>
      <c r="M352" s="1">
        <v>9</v>
      </c>
      <c r="N352" s="3" t="s">
        <v>5</v>
      </c>
      <c r="O352" s="3" t="s">
        <v>1</v>
      </c>
      <c r="P352" s="8"/>
      <c r="Q352" s="2">
        <v>45787.970914351848</v>
      </c>
      <c r="R352" s="2">
        <v>45788.066574074073</v>
      </c>
      <c r="S352" s="1"/>
      <c r="T352" s="1" t="s">
        <v>87</v>
      </c>
      <c r="U352" s="1">
        <v>6725</v>
      </c>
      <c r="V352" s="1">
        <v>5484</v>
      </c>
      <c r="W352" s="1">
        <v>56</v>
      </c>
      <c r="X352" s="1">
        <v>134</v>
      </c>
      <c r="Y352" s="1">
        <v>12</v>
      </c>
    </row>
    <row r="353" spans="1:25" x14ac:dyDescent="0.25">
      <c r="A353" s="3">
        <v>342</v>
      </c>
      <c r="C353" s="7">
        <v>45789</v>
      </c>
      <c r="D353" s="3">
        <v>3019</v>
      </c>
      <c r="E353" s="1">
        <v>5608.7</v>
      </c>
      <c r="F353" s="3" t="s">
        <v>2</v>
      </c>
      <c r="G353" s="1">
        <v>358.6</v>
      </c>
      <c r="H353" s="2">
        <v>45789.642361111109</v>
      </c>
      <c r="I353" s="2">
        <v>45789.8</v>
      </c>
      <c r="J353" s="1">
        <f t="shared" si="9"/>
        <v>3.7833333334419876</v>
      </c>
      <c r="K353" s="1">
        <v>94.784140966440873</v>
      </c>
      <c r="L353" s="1">
        <v>32.6</v>
      </c>
      <c r="M353" s="1">
        <v>4</v>
      </c>
      <c r="N353" s="3" t="s">
        <v>3</v>
      </c>
      <c r="O353" s="3">
        <v>1</v>
      </c>
      <c r="P353" s="8" t="s">
        <v>7</v>
      </c>
      <c r="Q353" s="2">
        <v>45789.806631944448</v>
      </c>
      <c r="R353" s="2">
        <v>45790.063703703701</v>
      </c>
      <c r="S353" s="1"/>
      <c r="T353" s="1" t="s">
        <v>87</v>
      </c>
      <c r="U353" s="1">
        <v>12080</v>
      </c>
      <c r="V353" s="1">
        <v>9096</v>
      </c>
      <c r="W353" s="1">
        <v>95</v>
      </c>
      <c r="X353" s="1">
        <v>280</v>
      </c>
      <c r="Y353" s="1">
        <v>12</v>
      </c>
    </row>
    <row r="354" spans="1:25" x14ac:dyDescent="0.25">
      <c r="A354" s="3">
        <v>343</v>
      </c>
      <c r="C354" s="7">
        <v>45790</v>
      </c>
      <c r="D354" s="3">
        <v>3029</v>
      </c>
      <c r="E354" s="1">
        <v>5626.7</v>
      </c>
      <c r="F354" s="3" t="s">
        <v>2</v>
      </c>
      <c r="G354" s="1">
        <v>391.2</v>
      </c>
      <c r="H354" s="2">
        <v>45790.46875</v>
      </c>
      <c r="I354" s="2">
        <v>45790.625</v>
      </c>
      <c r="J354" s="1">
        <f t="shared" si="9"/>
        <v>3.75</v>
      </c>
      <c r="K354" s="1">
        <v>104.32</v>
      </c>
      <c r="L354" s="1">
        <v>32.6</v>
      </c>
      <c r="M354" s="1">
        <v>8</v>
      </c>
      <c r="N354" s="3" t="s">
        <v>5</v>
      </c>
      <c r="O354" s="3" t="s">
        <v>1</v>
      </c>
      <c r="P354" s="8"/>
      <c r="Q354" s="2">
        <v>45790.639699074076</v>
      </c>
      <c r="R354" s="2">
        <v>45790.882592592592</v>
      </c>
      <c r="S354" s="1"/>
      <c r="T354" s="1" t="s">
        <v>87</v>
      </c>
      <c r="U354" s="1">
        <v>18674</v>
      </c>
      <c r="V354" s="1">
        <v>14169</v>
      </c>
      <c r="W354" s="1">
        <v>145</v>
      </c>
      <c r="X354" s="1">
        <v>405</v>
      </c>
      <c r="Y354" s="1">
        <v>11</v>
      </c>
    </row>
    <row r="355" spans="1:25" x14ac:dyDescent="0.25">
      <c r="A355" s="3">
        <v>344</v>
      </c>
      <c r="C355" s="7">
        <v>45791</v>
      </c>
      <c r="D355" s="3">
        <v>3039</v>
      </c>
      <c r="E355" s="1">
        <v>5644.7</v>
      </c>
      <c r="F355" s="3" t="s">
        <v>2</v>
      </c>
      <c r="G355" s="1">
        <v>379.6</v>
      </c>
      <c r="H355" s="2">
        <v>45791.208333333336</v>
      </c>
      <c r="I355" s="2">
        <v>45791.322916666664</v>
      </c>
      <c r="J355" s="1">
        <f t="shared" si="9"/>
        <v>2.7499999998835847</v>
      </c>
      <c r="K355" s="1">
        <v>138.03636364220711</v>
      </c>
      <c r="L355" s="1">
        <v>32.6</v>
      </c>
      <c r="M355" s="1">
        <v>0</v>
      </c>
      <c r="N355" s="3" t="s">
        <v>3</v>
      </c>
      <c r="O355" s="3">
        <v>1</v>
      </c>
      <c r="P355" s="8" t="s">
        <v>7</v>
      </c>
      <c r="Q355" s="2">
        <v>45791.333645833336</v>
      </c>
      <c r="R355" s="2">
        <v>45791.500601851854</v>
      </c>
      <c r="S355" s="1"/>
      <c r="T355" s="1" t="s">
        <v>87</v>
      </c>
      <c r="U355" s="1">
        <v>14313</v>
      </c>
      <c r="V355" s="1">
        <v>11442</v>
      </c>
      <c r="W355" s="1">
        <v>117</v>
      </c>
      <c r="X355" s="1">
        <v>306</v>
      </c>
      <c r="Y355" s="1">
        <v>11</v>
      </c>
    </row>
    <row r="356" spans="1:25" x14ac:dyDescent="0.25">
      <c r="A356" s="3">
        <v>345</v>
      </c>
      <c r="C356" s="7">
        <v>45791</v>
      </c>
      <c r="D356" s="3">
        <v>3049</v>
      </c>
      <c r="E356" s="1">
        <v>5662.7</v>
      </c>
      <c r="F356" s="3" t="s">
        <v>2</v>
      </c>
      <c r="G356" s="1">
        <v>372</v>
      </c>
      <c r="H356" s="2">
        <v>45791.791666666664</v>
      </c>
      <c r="I356" s="2">
        <v>45791.895833333336</v>
      </c>
      <c r="J356" s="1">
        <f t="shared" si="9"/>
        <v>2.5000000001164153</v>
      </c>
      <c r="K356" s="1">
        <v>148.79999999307097</v>
      </c>
      <c r="L356" s="1">
        <v>32.6</v>
      </c>
      <c r="M356" s="1">
        <v>18</v>
      </c>
      <c r="N356" s="3" t="s">
        <v>3</v>
      </c>
      <c r="O356" s="3">
        <v>1</v>
      </c>
      <c r="P356" s="8" t="s">
        <v>7</v>
      </c>
      <c r="Q356" s="2">
        <v>45791.923784722225</v>
      </c>
      <c r="R356" s="2">
        <v>45792.262939814813</v>
      </c>
      <c r="S356" s="1"/>
      <c r="T356" s="1" t="s">
        <v>87</v>
      </c>
      <c r="U356" s="1">
        <v>21804</v>
      </c>
      <c r="V356" s="1">
        <v>17642</v>
      </c>
      <c r="W356" s="1">
        <v>180</v>
      </c>
      <c r="X356" s="1">
        <v>530</v>
      </c>
      <c r="Y356" s="1">
        <v>11</v>
      </c>
    </row>
    <row r="357" spans="1:25" x14ac:dyDescent="0.25">
      <c r="A357" s="3">
        <v>346</v>
      </c>
      <c r="C357" s="7">
        <v>45792</v>
      </c>
      <c r="D357" s="3">
        <v>3057</v>
      </c>
      <c r="E357" s="1">
        <v>5677.1</v>
      </c>
      <c r="F357" s="3" t="s">
        <v>2</v>
      </c>
      <c r="G357" s="1">
        <v>358.6</v>
      </c>
      <c r="H357" s="2">
        <v>45792.572916666664</v>
      </c>
      <c r="I357" s="2">
        <v>45792.739583333336</v>
      </c>
      <c r="J357" s="1">
        <f t="shared" si="9"/>
        <v>4.0000000001164153</v>
      </c>
      <c r="K357" s="1">
        <v>89.64999999739085</v>
      </c>
      <c r="L357" s="1">
        <v>32.6</v>
      </c>
      <c r="M357" s="1">
        <v>198</v>
      </c>
      <c r="N357" s="3" t="s">
        <v>3</v>
      </c>
      <c r="O357" s="3" t="s">
        <v>1</v>
      </c>
      <c r="P357" s="8" t="s">
        <v>24</v>
      </c>
      <c r="Q357" s="2">
        <v>45792.750844907408</v>
      </c>
      <c r="R357" s="2">
        <v>45793.157743055555</v>
      </c>
      <c r="S357" s="1"/>
      <c r="T357" s="1" t="s">
        <v>87</v>
      </c>
      <c r="U357" s="1">
        <v>24266</v>
      </c>
      <c r="V357" s="1">
        <v>20013</v>
      </c>
      <c r="W357" s="1">
        <v>206</v>
      </c>
      <c r="X357" s="1">
        <v>607</v>
      </c>
      <c r="Y357" s="1">
        <v>10</v>
      </c>
    </row>
    <row r="358" spans="1:25" x14ac:dyDescent="0.25">
      <c r="A358" s="3">
        <v>347</v>
      </c>
      <c r="C358" s="7">
        <v>45793</v>
      </c>
      <c r="D358" s="3">
        <v>3059</v>
      </c>
      <c r="E358" s="1">
        <v>5681.2</v>
      </c>
      <c r="F358" s="3" t="s">
        <v>2</v>
      </c>
      <c r="G358" s="1">
        <v>199.5</v>
      </c>
      <c r="H358" s="2">
        <v>45793.284722222219</v>
      </c>
      <c r="I358" s="2">
        <v>45793.399305555555</v>
      </c>
      <c r="J358" s="1">
        <f t="shared" si="9"/>
        <v>2.7500000000582077</v>
      </c>
      <c r="K358" s="1">
        <v>72.545454543919021</v>
      </c>
      <c r="L358" s="1">
        <v>28.6</v>
      </c>
      <c r="M358" s="1">
        <v>0</v>
      </c>
      <c r="N358" s="3" t="s">
        <v>3</v>
      </c>
      <c r="O358" s="3" t="s">
        <v>1</v>
      </c>
      <c r="P358" s="8" t="s">
        <v>24</v>
      </c>
      <c r="Q358" s="2">
        <v>45793.488506944443</v>
      </c>
      <c r="R358" s="2">
        <v>45793.551851851851</v>
      </c>
      <c r="S358" s="1"/>
      <c r="T358" s="1" t="s">
        <v>87</v>
      </c>
      <c r="U358" s="1">
        <v>3548</v>
      </c>
      <c r="V358" s="1">
        <v>2723</v>
      </c>
      <c r="W358" s="1">
        <v>27</v>
      </c>
      <c r="X358" s="1">
        <v>78</v>
      </c>
      <c r="Y358" s="1">
        <v>11</v>
      </c>
    </row>
    <row r="359" spans="1:25" x14ac:dyDescent="0.25">
      <c r="A359" s="3">
        <v>348</v>
      </c>
      <c r="C359" s="7">
        <v>45793</v>
      </c>
      <c r="D359" s="3">
        <v>3067</v>
      </c>
      <c r="E359" s="1">
        <v>5695.1</v>
      </c>
      <c r="F359" s="3" t="s">
        <v>2</v>
      </c>
      <c r="G359" s="1">
        <v>391.2</v>
      </c>
      <c r="H359" s="2">
        <v>45793.873611111114</v>
      </c>
      <c r="I359" s="2">
        <v>45794.036805555559</v>
      </c>
      <c r="J359" s="1">
        <f t="shared" si="9"/>
        <v>3.9166666666860692</v>
      </c>
      <c r="K359" s="1">
        <v>99.880851063334987</v>
      </c>
      <c r="L359" s="1">
        <v>32.6</v>
      </c>
      <c r="M359" s="1">
        <v>9</v>
      </c>
      <c r="N359" s="3" t="s">
        <v>3</v>
      </c>
      <c r="O359" s="3" t="s">
        <v>1</v>
      </c>
      <c r="P359" s="8" t="s">
        <v>24</v>
      </c>
      <c r="Q359" s="2">
        <v>45794.036770833336</v>
      </c>
      <c r="R359" s="2">
        <v>45794.352476851855</v>
      </c>
      <c r="S359" s="1"/>
      <c r="T359" s="1" t="s">
        <v>87</v>
      </c>
      <c r="U359" s="1">
        <v>13239</v>
      </c>
      <c r="V359" s="1">
        <v>10933</v>
      </c>
      <c r="W359" s="1">
        <v>111</v>
      </c>
      <c r="X359" s="1">
        <v>329</v>
      </c>
      <c r="Y359" s="1">
        <v>12</v>
      </c>
    </row>
    <row r="360" spans="1:25" x14ac:dyDescent="0.25">
      <c r="A360" s="3">
        <v>349</v>
      </c>
      <c r="C360" s="7">
        <v>45794</v>
      </c>
      <c r="D360" s="3">
        <v>3077</v>
      </c>
      <c r="E360" s="1">
        <v>5713.2</v>
      </c>
      <c r="F360" s="3" t="s">
        <v>2</v>
      </c>
      <c r="G360" s="1">
        <v>195.6</v>
      </c>
      <c r="H360" s="2">
        <v>45794.611805555556</v>
      </c>
      <c r="I360" s="2">
        <v>45794.711805555555</v>
      </c>
      <c r="J360" s="1">
        <f t="shared" si="9"/>
        <v>2.3999999999650754</v>
      </c>
      <c r="K360" s="1">
        <v>81.500000001185981</v>
      </c>
      <c r="L360" s="1">
        <v>32.6</v>
      </c>
      <c r="M360" s="1">
        <v>10</v>
      </c>
      <c r="N360" s="3" t="s">
        <v>3</v>
      </c>
      <c r="O360" s="3" t="s">
        <v>1</v>
      </c>
      <c r="P360" s="8" t="s">
        <v>24</v>
      </c>
      <c r="Q360" s="2">
        <v>45794.71947916667</v>
      </c>
      <c r="R360" s="2">
        <v>45794.807187500002</v>
      </c>
      <c r="S360" s="1"/>
      <c r="T360" s="1" t="s">
        <v>87</v>
      </c>
      <c r="U360" s="1">
        <v>2775</v>
      </c>
      <c r="V360" s="1">
        <v>2158</v>
      </c>
      <c r="W360" s="1">
        <v>30</v>
      </c>
      <c r="X360" s="1">
        <v>86</v>
      </c>
      <c r="Y360" s="1">
        <v>6</v>
      </c>
    </row>
    <row r="361" spans="1:25" x14ac:dyDescent="0.25">
      <c r="A361" s="3">
        <v>350</v>
      </c>
      <c r="C361" s="7">
        <v>45794</v>
      </c>
      <c r="D361" s="3">
        <v>3079</v>
      </c>
      <c r="E361" s="1">
        <v>5716.8</v>
      </c>
      <c r="F361" s="3" t="s">
        <v>2</v>
      </c>
      <c r="G361" s="1">
        <v>339.6</v>
      </c>
      <c r="H361" s="2">
        <v>45794.916666666664</v>
      </c>
      <c r="I361" s="2">
        <v>45795.006944444445</v>
      </c>
      <c r="J361" s="1">
        <f t="shared" si="9"/>
        <v>2.1666666667442769</v>
      </c>
      <c r="K361" s="1">
        <v>156.73846153284717</v>
      </c>
      <c r="L361" s="1">
        <v>28.6</v>
      </c>
      <c r="M361" s="1">
        <v>16</v>
      </c>
      <c r="N361" s="3" t="s">
        <v>3</v>
      </c>
      <c r="O361" s="3" t="s">
        <v>1</v>
      </c>
      <c r="P361" s="8" t="s">
        <v>7</v>
      </c>
      <c r="Q361" s="2">
        <v>45796.333657407406</v>
      </c>
      <c r="R361" s="2">
        <v>45796.44803240741</v>
      </c>
      <c r="S361" s="1"/>
      <c r="T361" s="1" t="s">
        <v>87</v>
      </c>
      <c r="U361" s="1">
        <v>6275</v>
      </c>
      <c r="V361" s="1">
        <v>4663</v>
      </c>
      <c r="W361" s="1">
        <v>47</v>
      </c>
      <c r="X361" s="1">
        <v>138</v>
      </c>
      <c r="Y361" s="1">
        <v>12</v>
      </c>
    </row>
    <row r="362" spans="1:25" x14ac:dyDescent="0.25">
      <c r="A362" s="3">
        <v>351</v>
      </c>
      <c r="C362" s="7">
        <v>45796</v>
      </c>
      <c r="D362" s="3">
        <v>3085</v>
      </c>
      <c r="E362" s="1">
        <v>5727.5</v>
      </c>
      <c r="F362" s="3" t="s">
        <v>2</v>
      </c>
      <c r="G362" s="1">
        <v>195.6</v>
      </c>
      <c r="H362" s="2">
        <v>45796.659722222219</v>
      </c>
      <c r="I362" s="2">
        <v>45796.732638888891</v>
      </c>
      <c r="J362" s="1">
        <f t="shared" si="9"/>
        <v>1.7500000001164153</v>
      </c>
      <c r="K362" s="1">
        <v>111.7714285639932</v>
      </c>
      <c r="L362" s="1">
        <v>32.6</v>
      </c>
      <c r="M362" s="1">
        <v>0</v>
      </c>
      <c r="N362" s="3" t="s">
        <v>3</v>
      </c>
      <c r="O362" s="3" t="s">
        <v>1</v>
      </c>
      <c r="P362" s="8"/>
      <c r="Q362" s="2">
        <v>45796.829398148147</v>
      </c>
      <c r="R362" s="2">
        <v>45796.954050925924</v>
      </c>
      <c r="S362" s="1"/>
      <c r="T362" s="1" t="s">
        <v>87</v>
      </c>
      <c r="U362" s="1">
        <v>3718</v>
      </c>
      <c r="V362" s="1">
        <v>2842</v>
      </c>
      <c r="W362" s="1">
        <v>29</v>
      </c>
      <c r="X362" s="1">
        <v>84</v>
      </c>
      <c r="Y362" s="1">
        <v>6</v>
      </c>
    </row>
    <row r="363" spans="1:25" x14ac:dyDescent="0.25">
      <c r="A363" s="3">
        <v>352</v>
      </c>
      <c r="C363" s="7">
        <v>45796</v>
      </c>
      <c r="D363" s="3">
        <v>3087</v>
      </c>
      <c r="E363" s="1">
        <v>5731.1</v>
      </c>
      <c r="F363" s="3" t="s">
        <v>2</v>
      </c>
      <c r="G363" s="1">
        <v>343.2</v>
      </c>
      <c r="H363" s="2">
        <v>45797.056944444441</v>
      </c>
      <c r="I363" s="2">
        <v>45797.158333333333</v>
      </c>
      <c r="J363" s="1">
        <f t="shared" si="9"/>
        <v>2.433333333407063</v>
      </c>
      <c r="K363" s="1">
        <v>141.04109588613741</v>
      </c>
      <c r="L363" s="1">
        <v>28.6</v>
      </c>
      <c r="M363" s="1">
        <v>0</v>
      </c>
      <c r="N363" s="3" t="s">
        <v>5</v>
      </c>
      <c r="O363" s="3" t="s">
        <v>1</v>
      </c>
      <c r="P363" s="8"/>
      <c r="Q363" s="2">
        <v>45797.173206018517</v>
      </c>
      <c r="R363" s="2">
        <v>45797.196875000001</v>
      </c>
      <c r="S363" s="1"/>
      <c r="T363" s="1" t="s">
        <v>87</v>
      </c>
      <c r="U363" s="1">
        <v>946</v>
      </c>
      <c r="V363" s="1">
        <v>535</v>
      </c>
      <c r="W363" s="1">
        <v>5</v>
      </c>
      <c r="X363" s="1">
        <v>16</v>
      </c>
      <c r="Y363" s="1">
        <v>12</v>
      </c>
    </row>
    <row r="364" spans="1:25" x14ac:dyDescent="0.25">
      <c r="A364" s="3">
        <v>353</v>
      </c>
      <c r="C364" s="7">
        <v>45797</v>
      </c>
      <c r="D364" s="3">
        <v>3093</v>
      </c>
      <c r="E364" s="1">
        <v>5742</v>
      </c>
      <c r="F364" s="3" t="s">
        <v>2</v>
      </c>
      <c r="G364" s="1">
        <v>195.6</v>
      </c>
      <c r="H364" s="2">
        <v>45797.420138888891</v>
      </c>
      <c r="I364" s="2">
        <v>45797.506944444445</v>
      </c>
      <c r="J364" s="1">
        <f t="shared" si="9"/>
        <v>2.0833333333139308</v>
      </c>
      <c r="K364" s="1">
        <v>93.888000000874399</v>
      </c>
      <c r="L364" s="1">
        <v>32.6</v>
      </c>
      <c r="M364" s="1">
        <v>0</v>
      </c>
      <c r="N364" s="3" t="s">
        <v>5</v>
      </c>
      <c r="O364" s="3" t="s">
        <v>1</v>
      </c>
      <c r="P364" s="8"/>
      <c r="Q364" s="2">
        <v>45797.519444444442</v>
      </c>
      <c r="R364" s="2">
        <v>45797.760625000003</v>
      </c>
      <c r="S364" s="1"/>
      <c r="T364" s="1" t="s">
        <v>87</v>
      </c>
      <c r="U364" s="1">
        <v>15264</v>
      </c>
      <c r="V364" s="1">
        <v>11125</v>
      </c>
      <c r="W364" s="1">
        <v>118</v>
      </c>
      <c r="X364" s="1">
        <v>528</v>
      </c>
      <c r="Y364" s="1">
        <v>6</v>
      </c>
    </row>
    <row r="365" spans="1:25" x14ac:dyDescent="0.25">
      <c r="A365" s="3">
        <v>354</v>
      </c>
      <c r="C365" s="7">
        <v>45798</v>
      </c>
      <c r="D365" s="3">
        <v>3095</v>
      </c>
      <c r="E365" s="1">
        <v>5745.6</v>
      </c>
      <c r="F365" s="3" t="s">
        <v>2</v>
      </c>
      <c r="G365" s="1">
        <v>343.2</v>
      </c>
      <c r="H365" s="2">
        <v>45797.864583333336</v>
      </c>
      <c r="I365" s="2">
        <v>45798.004861111112</v>
      </c>
      <c r="J365" s="1">
        <f t="shared" si="9"/>
        <v>3.3666666666395031</v>
      </c>
      <c r="K365" s="1">
        <v>101.94059406022843</v>
      </c>
      <c r="L365" s="1">
        <v>28.6</v>
      </c>
      <c r="M365" s="1">
        <v>3</v>
      </c>
      <c r="N365" s="3" t="s">
        <v>3</v>
      </c>
      <c r="O365" s="3">
        <v>1</v>
      </c>
      <c r="P365" s="8" t="s">
        <v>41</v>
      </c>
      <c r="Q365" s="2">
        <v>45798.003703703704</v>
      </c>
      <c r="R365" s="2">
        <v>45798.080717592595</v>
      </c>
      <c r="S365" s="1"/>
      <c r="T365" s="1" t="s">
        <v>87</v>
      </c>
      <c r="U365" s="1">
        <v>4181</v>
      </c>
      <c r="V365" s="1">
        <v>2864</v>
      </c>
      <c r="W365" s="1">
        <v>29</v>
      </c>
      <c r="X365" s="1">
        <v>117</v>
      </c>
      <c r="Y365" s="1">
        <v>12</v>
      </c>
    </row>
    <row r="366" spans="1:25" x14ac:dyDescent="0.25">
      <c r="A366" s="3">
        <v>355</v>
      </c>
      <c r="C366" s="7">
        <v>45798</v>
      </c>
      <c r="D366" s="3">
        <v>3101</v>
      </c>
      <c r="E366" s="1">
        <v>5756.4</v>
      </c>
      <c r="F366" s="3" t="s">
        <v>2</v>
      </c>
      <c r="G366" s="1">
        <v>195.6</v>
      </c>
      <c r="H366" s="2">
        <v>45798.288194444445</v>
      </c>
      <c r="I366" s="2">
        <v>45798.356944444444</v>
      </c>
      <c r="J366" s="1">
        <f t="shared" si="9"/>
        <v>1.6499999999650754</v>
      </c>
      <c r="K366" s="1">
        <v>118.54545454796373</v>
      </c>
      <c r="L366" s="1">
        <v>32.6</v>
      </c>
      <c r="M366" s="1">
        <v>10</v>
      </c>
      <c r="N366" s="3" t="s">
        <v>3</v>
      </c>
      <c r="O366" s="3" t="s">
        <v>1</v>
      </c>
      <c r="P366" s="8" t="s">
        <v>19</v>
      </c>
      <c r="Q366" s="2">
        <v>45798.365428240744</v>
      </c>
      <c r="R366" s="2">
        <v>45798.480358796296</v>
      </c>
      <c r="S366" s="1"/>
      <c r="T366" s="1" t="s">
        <v>87</v>
      </c>
      <c r="U366" s="1">
        <v>4907</v>
      </c>
      <c r="V366" s="1">
        <v>3448</v>
      </c>
      <c r="W366" s="1">
        <v>37</v>
      </c>
      <c r="X366" s="1">
        <v>204</v>
      </c>
      <c r="Y366" s="1">
        <v>6</v>
      </c>
    </row>
    <row r="367" spans="1:25" x14ac:dyDescent="0.25">
      <c r="A367" s="3">
        <v>356</v>
      </c>
      <c r="C367" s="7">
        <v>45798</v>
      </c>
      <c r="D367" s="3">
        <v>3103</v>
      </c>
      <c r="E367" s="1">
        <v>5760</v>
      </c>
      <c r="F367" s="3" t="s">
        <v>2</v>
      </c>
      <c r="G367" s="1">
        <v>343.2</v>
      </c>
      <c r="H367" s="2">
        <v>45798.569444444445</v>
      </c>
      <c r="I367" s="2">
        <v>45798.666666666664</v>
      </c>
      <c r="J367" s="1">
        <f t="shared" si="9"/>
        <v>2.3333333332557231</v>
      </c>
      <c r="K367" s="1">
        <v>147.08571429060657</v>
      </c>
      <c r="L367" s="1">
        <v>28.6</v>
      </c>
      <c r="M367" s="1">
        <v>1</v>
      </c>
      <c r="N367" s="3" t="s">
        <v>5</v>
      </c>
      <c r="O367" s="3" t="s">
        <v>1</v>
      </c>
      <c r="P367" s="8"/>
      <c r="Q367" s="2">
        <v>45798.675138888888</v>
      </c>
      <c r="R367" s="2">
        <v>45798.811365740738</v>
      </c>
      <c r="S367" s="1"/>
      <c r="T367" s="1" t="s">
        <v>87</v>
      </c>
      <c r="U367" s="1">
        <v>9552</v>
      </c>
      <c r="V367" s="1">
        <v>7564</v>
      </c>
      <c r="W367" s="1">
        <v>78</v>
      </c>
      <c r="X367" s="1">
        <v>337</v>
      </c>
      <c r="Y367" s="1">
        <v>12</v>
      </c>
    </row>
    <row r="368" spans="1:25" x14ac:dyDescent="0.25">
      <c r="A368" s="3">
        <v>357</v>
      </c>
      <c r="C368" s="7">
        <v>45799</v>
      </c>
      <c r="D368" s="3">
        <v>3109</v>
      </c>
      <c r="E368" s="1">
        <v>5770.8</v>
      </c>
      <c r="F368" s="3" t="s">
        <v>2</v>
      </c>
      <c r="G368" s="1">
        <v>391.2</v>
      </c>
      <c r="H368" s="2">
        <v>45799.083333333336</v>
      </c>
      <c r="I368" s="2">
        <v>45799.211805555555</v>
      </c>
      <c r="J368" s="1">
        <f t="shared" si="9"/>
        <v>3.0833333332557231</v>
      </c>
      <c r="K368" s="1">
        <v>126.87567567886924</v>
      </c>
      <c r="L368" s="1">
        <v>32.6</v>
      </c>
      <c r="M368" s="1">
        <v>0</v>
      </c>
      <c r="N368" s="3" t="s">
        <v>5</v>
      </c>
      <c r="O368" s="3" t="s">
        <v>1</v>
      </c>
      <c r="P368" s="8"/>
      <c r="Q368" s="2">
        <v>45799.202291666668</v>
      </c>
      <c r="R368" s="2">
        <v>45799.328229166669</v>
      </c>
      <c r="S368" s="1"/>
      <c r="T368" s="1" t="s">
        <v>87</v>
      </c>
      <c r="U368" s="1">
        <v>4592</v>
      </c>
      <c r="V368" s="1">
        <v>3358</v>
      </c>
      <c r="W368" s="1">
        <v>34</v>
      </c>
      <c r="X368" s="1">
        <v>163</v>
      </c>
      <c r="Y368" s="1">
        <v>12</v>
      </c>
    </row>
    <row r="369" spans="1:25" x14ac:dyDescent="0.25">
      <c r="A369" s="3">
        <v>358</v>
      </c>
      <c r="C369" s="7">
        <v>45799</v>
      </c>
      <c r="D369" s="3">
        <v>3117</v>
      </c>
      <c r="E369" s="1">
        <v>5785</v>
      </c>
      <c r="F369" s="3" t="s">
        <v>2</v>
      </c>
      <c r="G369" s="1">
        <v>376.1</v>
      </c>
      <c r="H369" s="2">
        <v>45799.548611111109</v>
      </c>
      <c r="I369" s="2">
        <v>45799.75</v>
      </c>
      <c r="J369" s="1">
        <f t="shared" si="9"/>
        <v>4.8333333333721384</v>
      </c>
      <c r="K369" s="1">
        <v>77.813793102823539</v>
      </c>
      <c r="L369" s="1">
        <v>32.6</v>
      </c>
      <c r="M369" s="1">
        <v>20</v>
      </c>
      <c r="N369" s="3" t="s">
        <v>5</v>
      </c>
      <c r="O369" s="3" t="s">
        <v>1</v>
      </c>
      <c r="P369" s="8"/>
      <c r="Q369" s="2">
        <v>45799.723900462966</v>
      </c>
      <c r="R369" s="2">
        <v>45799.917430555557</v>
      </c>
      <c r="S369" s="1"/>
      <c r="T369" s="1" t="s">
        <v>87</v>
      </c>
      <c r="U369" s="1">
        <v>14299</v>
      </c>
      <c r="V369" s="1">
        <v>10674</v>
      </c>
      <c r="W369" s="1">
        <v>110</v>
      </c>
      <c r="X369" s="1">
        <v>452</v>
      </c>
      <c r="Y369" s="1">
        <v>12</v>
      </c>
    </row>
    <row r="370" spans="1:25" x14ac:dyDescent="0.25">
      <c r="A370" s="3">
        <v>359</v>
      </c>
      <c r="C370" s="7">
        <v>45800</v>
      </c>
      <c r="D370" s="3">
        <v>3125</v>
      </c>
      <c r="E370" s="1">
        <v>5799</v>
      </c>
      <c r="F370" s="3" t="s">
        <v>2</v>
      </c>
      <c r="G370" s="1">
        <v>391.2</v>
      </c>
      <c r="H370" s="2">
        <v>45800.168055555558</v>
      </c>
      <c r="I370" s="2">
        <v>45800.38958333333</v>
      </c>
      <c r="J370" s="1">
        <f t="shared" si="9"/>
        <v>5.3166666665347293</v>
      </c>
      <c r="K370" s="1">
        <v>73.579937305901183</v>
      </c>
      <c r="L370" s="1">
        <v>32.6</v>
      </c>
      <c r="M370" s="1">
        <v>0</v>
      </c>
      <c r="N370" s="3" t="s">
        <v>3</v>
      </c>
      <c r="O370" s="3">
        <v>1</v>
      </c>
      <c r="P370" s="8" t="s">
        <v>41</v>
      </c>
      <c r="Q370" s="2">
        <v>45800.367546296293</v>
      </c>
      <c r="R370" s="2">
        <v>45800.58284722222</v>
      </c>
      <c r="S370" s="1"/>
      <c r="T370" s="1" t="s">
        <v>87</v>
      </c>
      <c r="U370" s="1">
        <v>13500</v>
      </c>
      <c r="V370" s="1">
        <v>9963</v>
      </c>
      <c r="W370" s="1">
        <v>100</v>
      </c>
      <c r="X370" s="1">
        <v>402</v>
      </c>
      <c r="Y370" s="1">
        <v>12</v>
      </c>
    </row>
    <row r="371" spans="1:25" x14ac:dyDescent="0.25">
      <c r="A371" s="3">
        <v>360</v>
      </c>
      <c r="C371" s="7">
        <v>45800</v>
      </c>
      <c r="D371" s="3">
        <v>3135</v>
      </c>
      <c r="E371" s="1">
        <v>5817.5</v>
      </c>
      <c r="F371" s="3" t="s">
        <v>2</v>
      </c>
      <c r="G371" s="1">
        <v>391.2</v>
      </c>
      <c r="H371" s="2">
        <v>45800.902777777781</v>
      </c>
      <c r="I371" s="2">
        <v>45801.022222222222</v>
      </c>
      <c r="J371" s="1">
        <f t="shared" si="9"/>
        <v>2.8666666665812954</v>
      </c>
      <c r="K371" s="1">
        <v>136.4651162831338</v>
      </c>
      <c r="L371" s="1">
        <v>32.6</v>
      </c>
      <c r="M371" s="1">
        <v>0</v>
      </c>
      <c r="N371" s="3" t="s">
        <v>5</v>
      </c>
      <c r="O371" s="3" t="s">
        <v>1</v>
      </c>
      <c r="P371" s="8"/>
      <c r="Q371" s="2">
        <v>45801.023113425923</v>
      </c>
      <c r="R371" s="2">
        <v>45801.066180555557</v>
      </c>
      <c r="S371" s="1"/>
      <c r="T371" s="1" t="s">
        <v>87</v>
      </c>
      <c r="U371" s="1">
        <v>1790</v>
      </c>
      <c r="V371" s="1">
        <v>1251</v>
      </c>
      <c r="W371" s="1">
        <v>13</v>
      </c>
      <c r="X371" s="1">
        <v>75</v>
      </c>
      <c r="Y371" s="1">
        <v>12</v>
      </c>
    </row>
    <row r="372" spans="1:25" x14ac:dyDescent="0.25">
      <c r="A372" s="3">
        <v>361</v>
      </c>
      <c r="C372" s="7">
        <v>45801</v>
      </c>
      <c r="D372" s="3">
        <v>3145</v>
      </c>
      <c r="E372" s="1">
        <v>5835</v>
      </c>
      <c r="F372" s="3" t="s">
        <v>2</v>
      </c>
      <c r="G372" s="1">
        <v>391.2</v>
      </c>
      <c r="H372" s="2">
        <v>45801.793055555558</v>
      </c>
      <c r="I372" s="2">
        <v>45801.899305555555</v>
      </c>
      <c r="J372" s="1">
        <f t="shared" si="9"/>
        <v>2.5499999999301508</v>
      </c>
      <c r="K372" s="1">
        <v>153.41176471008458</v>
      </c>
      <c r="L372" s="1">
        <v>32.6</v>
      </c>
      <c r="M372" s="1">
        <v>0</v>
      </c>
      <c r="N372" s="3" t="s">
        <v>3</v>
      </c>
      <c r="O372" s="3">
        <v>1</v>
      </c>
      <c r="P372" s="8" t="s">
        <v>41</v>
      </c>
      <c r="Q372" s="2">
        <v>45801.894837962966</v>
      </c>
      <c r="R372" s="2">
        <v>45801.972557870373</v>
      </c>
      <c r="S372" s="1"/>
      <c r="T372" s="1" t="s">
        <v>87</v>
      </c>
      <c r="U372" s="1">
        <v>5217</v>
      </c>
      <c r="V372" s="1">
        <v>3373</v>
      </c>
      <c r="W372" s="1">
        <v>34</v>
      </c>
      <c r="X372" s="1">
        <v>159</v>
      </c>
      <c r="Y372" s="1">
        <v>12</v>
      </c>
    </row>
    <row r="373" spans="1:25" x14ac:dyDescent="0.25">
      <c r="A373" s="3">
        <v>362</v>
      </c>
      <c r="C373" s="7">
        <v>45803</v>
      </c>
      <c r="D373" s="3">
        <v>3155</v>
      </c>
      <c r="E373" s="1">
        <v>5853.6</v>
      </c>
      <c r="F373" s="3" t="s">
        <v>2</v>
      </c>
      <c r="G373" s="1">
        <v>391.2</v>
      </c>
      <c r="H373" s="2">
        <v>45803.697916666664</v>
      </c>
      <c r="I373" s="2">
        <v>45803.829861111109</v>
      </c>
      <c r="J373" s="1">
        <f t="shared" si="9"/>
        <v>3.1666666666860692</v>
      </c>
      <c r="K373" s="1">
        <v>123.53684210450623</v>
      </c>
      <c r="L373" s="1">
        <v>32.6</v>
      </c>
      <c r="M373" s="1">
        <v>0</v>
      </c>
      <c r="N373" s="3" t="s">
        <v>3</v>
      </c>
      <c r="O373" s="3">
        <v>1</v>
      </c>
      <c r="P373" s="8" t="s">
        <v>41</v>
      </c>
      <c r="Q373" s="2">
        <v>45803.83289351852</v>
      </c>
      <c r="R373" s="2">
        <v>45804.048692129632</v>
      </c>
      <c r="S373" s="1"/>
      <c r="T373" s="1" t="s">
        <v>87</v>
      </c>
      <c r="U373" s="1">
        <v>19122</v>
      </c>
      <c r="V373" s="1">
        <v>14435</v>
      </c>
      <c r="W373" s="1">
        <v>145</v>
      </c>
      <c r="X373" s="1">
        <v>424</v>
      </c>
      <c r="Y373" s="1">
        <v>13</v>
      </c>
    </row>
    <row r="374" spans="1:25" x14ac:dyDescent="0.25">
      <c r="A374" s="3">
        <v>363</v>
      </c>
      <c r="C374" s="7">
        <v>45804</v>
      </c>
      <c r="D374" s="3">
        <v>3165</v>
      </c>
      <c r="E374" s="1">
        <v>5871.6</v>
      </c>
      <c r="F374" s="3" t="s">
        <v>2</v>
      </c>
      <c r="G374" s="1">
        <v>391.2</v>
      </c>
      <c r="H374" s="2">
        <v>45804.459722222222</v>
      </c>
      <c r="I374" s="2">
        <v>45804.586805555555</v>
      </c>
      <c r="J374" s="1">
        <f t="shared" si="9"/>
        <v>3.0499999999883585</v>
      </c>
      <c r="K374" s="1">
        <v>128.26229508245677</v>
      </c>
      <c r="L374" s="1">
        <v>32.6</v>
      </c>
      <c r="M374" s="1">
        <v>2</v>
      </c>
      <c r="N374" s="3" t="s">
        <v>5</v>
      </c>
      <c r="O374" s="3" t="s">
        <v>1</v>
      </c>
      <c r="P374" s="8"/>
      <c r="Q374" s="2">
        <v>45804.585092592592</v>
      </c>
      <c r="R374" s="2">
        <v>45804.780312499999</v>
      </c>
      <c r="S374" s="1"/>
      <c r="T374" s="1" t="s">
        <v>87</v>
      </c>
      <c r="U374" s="1">
        <v>13266</v>
      </c>
      <c r="V374" s="1">
        <v>9622</v>
      </c>
      <c r="W374" s="1">
        <v>99</v>
      </c>
      <c r="X374" s="1">
        <v>409</v>
      </c>
      <c r="Y374" s="1">
        <v>12</v>
      </c>
    </row>
    <row r="375" spans="1:25" x14ac:dyDescent="0.25">
      <c r="A375" s="3">
        <v>364</v>
      </c>
      <c r="C375" s="7">
        <v>45805</v>
      </c>
      <c r="D375" s="3">
        <v>3173</v>
      </c>
      <c r="E375" s="1">
        <v>5886</v>
      </c>
      <c r="F375" s="3" t="s">
        <v>2</v>
      </c>
      <c r="G375" s="1">
        <v>391.2</v>
      </c>
      <c r="H375" s="2">
        <v>45805.086111111108</v>
      </c>
      <c r="I375" s="2">
        <v>45805.254861111112</v>
      </c>
      <c r="J375" s="1">
        <f t="shared" si="9"/>
        <v>4.0500000001047738</v>
      </c>
      <c r="K375" s="1">
        <v>96.59259259009373</v>
      </c>
      <c r="L375" s="1">
        <v>32.6</v>
      </c>
      <c r="M375" s="1">
        <v>0</v>
      </c>
      <c r="N375" s="3" t="s">
        <v>5</v>
      </c>
      <c r="O375" s="3" t="s">
        <v>1</v>
      </c>
      <c r="P375" s="8"/>
      <c r="Q375" s="2">
        <v>45805.2266087963</v>
      </c>
      <c r="R375" s="2">
        <v>45805.453483796293</v>
      </c>
      <c r="S375" s="1"/>
      <c r="T375" s="1" t="s">
        <v>87</v>
      </c>
      <c r="U375" s="1">
        <v>19294</v>
      </c>
      <c r="V375" s="1">
        <v>14300</v>
      </c>
      <c r="W375" s="1">
        <v>151</v>
      </c>
      <c r="X375" s="1">
        <v>492</v>
      </c>
      <c r="Y375" s="1">
        <v>12</v>
      </c>
    </row>
    <row r="376" spans="1:25" x14ac:dyDescent="0.25">
      <c r="A376" s="3">
        <v>365</v>
      </c>
      <c r="C376" s="7">
        <v>45805</v>
      </c>
      <c r="D376" s="3">
        <v>3183</v>
      </c>
      <c r="E376" s="1">
        <v>5904.4</v>
      </c>
      <c r="F376" s="3" t="s">
        <v>2</v>
      </c>
      <c r="G376" s="1">
        <v>391.2</v>
      </c>
      <c r="H376" s="2">
        <v>45805.816666666666</v>
      </c>
      <c r="I376" s="2">
        <v>45805.947222222225</v>
      </c>
      <c r="J376" s="1">
        <f t="shared" si="9"/>
        <v>3.1333333334187046</v>
      </c>
      <c r="K376" s="1">
        <v>124.85106382638553</v>
      </c>
      <c r="L376" s="1">
        <v>32.6</v>
      </c>
      <c r="M376" s="1">
        <v>5</v>
      </c>
      <c r="N376" s="3" t="s">
        <v>5</v>
      </c>
      <c r="O376" s="3" t="s">
        <v>1</v>
      </c>
      <c r="P376" s="8"/>
      <c r="Q376" s="2">
        <v>45805.95239583333</v>
      </c>
      <c r="R376" s="2">
        <v>45806.032268518517</v>
      </c>
      <c r="S376" s="1"/>
      <c r="T376" s="1" t="s">
        <v>87</v>
      </c>
      <c r="U376" s="1">
        <v>6250</v>
      </c>
      <c r="V376" s="1">
        <v>4883</v>
      </c>
      <c r="W376" s="1">
        <v>49</v>
      </c>
      <c r="X376" s="1">
        <v>145</v>
      </c>
      <c r="Y376" s="1">
        <v>12</v>
      </c>
    </row>
    <row r="377" spans="1:25" x14ac:dyDescent="0.25">
      <c r="A377" s="3">
        <v>366</v>
      </c>
      <c r="C377" s="7">
        <v>45806</v>
      </c>
      <c r="D377" s="3">
        <v>3193</v>
      </c>
      <c r="E377" s="1">
        <v>5922</v>
      </c>
      <c r="F377" s="3" t="s">
        <v>2</v>
      </c>
      <c r="G377" s="1">
        <v>391.2</v>
      </c>
      <c r="H377" s="2">
        <v>45806.378472222219</v>
      </c>
      <c r="I377" s="2">
        <v>45806.586805555555</v>
      </c>
      <c r="J377" s="1">
        <f t="shared" si="9"/>
        <v>5.0000000000582077</v>
      </c>
      <c r="K377" s="1">
        <v>78.239999999089164</v>
      </c>
      <c r="L377" s="1">
        <v>32.6</v>
      </c>
      <c r="M377" s="1">
        <v>0</v>
      </c>
      <c r="N377" s="3" t="s">
        <v>3</v>
      </c>
      <c r="O377" s="3" t="s">
        <v>1</v>
      </c>
      <c r="P377" s="8" t="s">
        <v>7</v>
      </c>
      <c r="Q377" s="2">
        <v>45806.584618055553</v>
      </c>
      <c r="R377" s="2">
        <v>45806.635972222219</v>
      </c>
      <c r="S377" s="1"/>
      <c r="T377" s="1" t="s">
        <v>87</v>
      </c>
      <c r="U377" s="1">
        <v>1530</v>
      </c>
      <c r="V377" s="1">
        <v>1101</v>
      </c>
      <c r="W377" s="1">
        <v>11</v>
      </c>
      <c r="X377" s="1">
        <v>59</v>
      </c>
      <c r="Y377" s="1">
        <v>12</v>
      </c>
    </row>
    <row r="378" spans="1:25" x14ac:dyDescent="0.25">
      <c r="A378" s="3">
        <v>367</v>
      </c>
      <c r="C378" s="7">
        <v>45807</v>
      </c>
      <c r="D378" s="3">
        <v>3203</v>
      </c>
      <c r="E378" s="1">
        <v>5940.4</v>
      </c>
      <c r="F378" s="3" t="s">
        <v>2</v>
      </c>
      <c r="G378" s="1">
        <v>391.2</v>
      </c>
      <c r="H378" s="2">
        <v>45807.024305555555</v>
      </c>
      <c r="I378" s="2">
        <v>45807.211111111108</v>
      </c>
      <c r="J378" s="1">
        <f t="shared" si="9"/>
        <v>4.4833333332790062</v>
      </c>
      <c r="K378" s="1">
        <v>87.256505577265514</v>
      </c>
      <c r="L378" s="1">
        <v>32.6</v>
      </c>
      <c r="M378" s="1">
        <v>0</v>
      </c>
      <c r="N378" s="3" t="s">
        <v>5</v>
      </c>
      <c r="O378" s="3" t="s">
        <v>1</v>
      </c>
      <c r="P378" s="8"/>
      <c r="Q378" s="2">
        <v>45807.21471064815</v>
      </c>
      <c r="R378" s="2">
        <v>45807.341863425929</v>
      </c>
      <c r="S378" s="1"/>
      <c r="T378" s="1" t="s">
        <v>87</v>
      </c>
      <c r="U378" s="1">
        <v>8366</v>
      </c>
      <c r="V378" s="1">
        <v>6550</v>
      </c>
      <c r="W378" s="1">
        <v>66</v>
      </c>
      <c r="X378" s="1">
        <v>194</v>
      </c>
      <c r="Y378" s="1">
        <v>12</v>
      </c>
    </row>
    <row r="379" spans="1:25" x14ac:dyDescent="0.25">
      <c r="A379" s="3">
        <v>368</v>
      </c>
      <c r="C379" s="7">
        <v>45807</v>
      </c>
      <c r="D379" s="3">
        <v>3213</v>
      </c>
      <c r="E379" s="1">
        <v>5958</v>
      </c>
      <c r="F379" s="3" t="s">
        <v>2</v>
      </c>
      <c r="G379" s="1">
        <v>389.79</v>
      </c>
      <c r="H379" s="2">
        <v>45807.676388888889</v>
      </c>
      <c r="I379" s="2">
        <v>45807.811111111114</v>
      </c>
      <c r="J379" s="1">
        <f t="shared" si="9"/>
        <v>3.2333333333954215</v>
      </c>
      <c r="K379" s="1">
        <v>120.55360824510775</v>
      </c>
      <c r="L379" s="1">
        <v>32.6</v>
      </c>
      <c r="M379" s="1">
        <v>0</v>
      </c>
      <c r="N379" s="3" t="s">
        <v>3</v>
      </c>
      <c r="O379" s="3" t="s">
        <v>1</v>
      </c>
      <c r="P379" s="8" t="s">
        <v>8</v>
      </c>
      <c r="Q379" s="2">
        <v>45807.819699074076</v>
      </c>
      <c r="R379" s="2">
        <v>45808.0628125</v>
      </c>
      <c r="S379" s="1"/>
      <c r="T379" s="1" t="s">
        <v>87</v>
      </c>
      <c r="U379" s="1">
        <v>18590</v>
      </c>
      <c r="V379" s="1">
        <v>14374</v>
      </c>
      <c r="W379" s="1">
        <v>144</v>
      </c>
      <c r="X379" s="1">
        <v>425</v>
      </c>
      <c r="Y379" s="1">
        <v>12</v>
      </c>
    </row>
    <row r="380" spans="1:25" x14ac:dyDescent="0.25">
      <c r="A380" s="3">
        <v>369</v>
      </c>
      <c r="C380" s="7">
        <v>45808</v>
      </c>
      <c r="D380" s="3">
        <v>3223</v>
      </c>
      <c r="E380" s="1">
        <v>5976</v>
      </c>
      <c r="F380" s="3" t="s">
        <v>2</v>
      </c>
      <c r="G380" s="1">
        <v>391.2</v>
      </c>
      <c r="H380" s="2">
        <v>45808.385416666664</v>
      </c>
      <c r="I380" s="2">
        <v>45808.586805555555</v>
      </c>
      <c r="J380" s="1">
        <f t="shared" si="9"/>
        <v>4.8333333333721384</v>
      </c>
      <c r="K380" s="1">
        <v>80.937931033832939</v>
      </c>
      <c r="L380" s="1">
        <v>32.6</v>
      </c>
      <c r="M380" s="1">
        <v>3</v>
      </c>
      <c r="N380" s="3" t="s">
        <v>5</v>
      </c>
      <c r="O380" s="3" t="s">
        <v>1</v>
      </c>
      <c r="P380" s="8"/>
      <c r="Q380" s="2">
        <v>45808.58798611111</v>
      </c>
      <c r="R380" s="2">
        <v>45808.757696759261</v>
      </c>
      <c r="S380" s="1"/>
      <c r="T380" s="1" t="s">
        <v>87</v>
      </c>
      <c r="U380" s="1">
        <v>11045</v>
      </c>
      <c r="V380" s="1">
        <v>8933.9999999999982</v>
      </c>
      <c r="W380" s="1">
        <v>89.800000000000011</v>
      </c>
      <c r="X380" s="1">
        <v>264.2</v>
      </c>
      <c r="Y380" s="1">
        <v>12</v>
      </c>
    </row>
    <row r="381" spans="1:25" x14ac:dyDescent="0.25">
      <c r="A381" s="3">
        <v>370</v>
      </c>
      <c r="C381" s="7">
        <v>45810</v>
      </c>
      <c r="D381" s="3">
        <v>3233</v>
      </c>
      <c r="E381" s="1">
        <v>5994</v>
      </c>
      <c r="F381" s="3" t="s">
        <v>2</v>
      </c>
      <c r="G381" s="1">
        <v>391.2</v>
      </c>
      <c r="H381" s="2">
        <v>45810.347916666666</v>
      </c>
      <c r="I381" s="2">
        <v>45810.46875</v>
      </c>
      <c r="J381" s="1">
        <f t="shared" si="9"/>
        <v>2.9000000000232831</v>
      </c>
      <c r="K381" s="1">
        <v>134.8965517230549</v>
      </c>
      <c r="L381" s="1">
        <v>32.6</v>
      </c>
      <c r="M381" s="1">
        <v>2</v>
      </c>
      <c r="N381" s="3" t="s">
        <v>5</v>
      </c>
      <c r="O381" s="3" t="s">
        <v>1</v>
      </c>
      <c r="P381" s="8"/>
      <c r="Q381" s="2">
        <v>45810.45921296296</v>
      </c>
      <c r="R381" s="2">
        <v>45810.73369212963</v>
      </c>
      <c r="S381" s="1"/>
      <c r="T381" s="1" t="s">
        <v>87</v>
      </c>
      <c r="U381" s="1">
        <v>19040</v>
      </c>
      <c r="V381" s="1">
        <v>14982</v>
      </c>
      <c r="W381" s="1">
        <v>153</v>
      </c>
      <c r="X381" s="1">
        <v>452</v>
      </c>
      <c r="Y381" s="1">
        <v>12</v>
      </c>
    </row>
    <row r="382" spans="1:25" x14ac:dyDescent="0.25">
      <c r="A382" s="3">
        <v>371</v>
      </c>
      <c r="C382" s="7">
        <v>45811</v>
      </c>
      <c r="D382" s="3">
        <v>3241</v>
      </c>
      <c r="E382" s="1">
        <v>6010.58</v>
      </c>
      <c r="F382" s="3" t="s">
        <v>2</v>
      </c>
      <c r="G382" s="1">
        <v>391.2</v>
      </c>
      <c r="H382" s="2">
        <v>45811.076388888891</v>
      </c>
      <c r="I382" s="2">
        <v>45811.201388888891</v>
      </c>
      <c r="J382" s="1">
        <f t="shared" si="9"/>
        <v>3</v>
      </c>
      <c r="K382" s="1">
        <v>130.4</v>
      </c>
      <c r="L382" s="1">
        <v>32.6</v>
      </c>
      <c r="M382" s="1">
        <v>5</v>
      </c>
      <c r="N382" s="3" t="s">
        <v>3</v>
      </c>
      <c r="O382" s="3">
        <v>1</v>
      </c>
      <c r="P382" s="8" t="s">
        <v>7</v>
      </c>
      <c r="Q382" s="2">
        <v>45811.211747685185</v>
      </c>
      <c r="R382" s="2">
        <v>45811.585243055553</v>
      </c>
      <c r="S382" s="1"/>
      <c r="T382" s="1" t="s">
        <v>87</v>
      </c>
      <c r="U382" s="1">
        <v>19936</v>
      </c>
      <c r="V382" s="1">
        <v>14430</v>
      </c>
      <c r="W382" s="1">
        <v>147</v>
      </c>
      <c r="X382" s="1">
        <v>433</v>
      </c>
      <c r="Y382" s="1">
        <v>12</v>
      </c>
    </row>
    <row r="383" spans="1:25" x14ac:dyDescent="0.25">
      <c r="A383" s="3">
        <v>372</v>
      </c>
      <c r="C383" s="7">
        <v>45811</v>
      </c>
      <c r="D383" s="3">
        <v>3251</v>
      </c>
      <c r="E383" s="1">
        <v>6026</v>
      </c>
      <c r="F383" s="3" t="s">
        <v>2</v>
      </c>
      <c r="G383" s="1">
        <v>394.4</v>
      </c>
      <c r="H383" s="2">
        <v>45811.989583333336</v>
      </c>
      <c r="I383" s="2">
        <v>45812.184027777781</v>
      </c>
      <c r="J383" s="1">
        <f t="shared" si="9"/>
        <v>4.6666666666860692</v>
      </c>
      <c r="K383" s="1">
        <v>84.514285713934328</v>
      </c>
      <c r="L383" s="1">
        <v>32.6</v>
      </c>
      <c r="M383" s="1">
        <v>0</v>
      </c>
      <c r="N383" s="3" t="s">
        <v>3</v>
      </c>
      <c r="O383" s="3" t="s">
        <v>1</v>
      </c>
      <c r="P383" s="8" t="s">
        <v>8</v>
      </c>
      <c r="Q383" s="2">
        <v>45812.190266203703</v>
      </c>
      <c r="R383" s="2">
        <v>45812.248159722221</v>
      </c>
      <c r="S383" s="1"/>
      <c r="T383" s="1" t="s">
        <v>87</v>
      </c>
      <c r="U383" s="1">
        <v>4139</v>
      </c>
      <c r="V383" s="1">
        <v>3342</v>
      </c>
      <c r="W383" s="1">
        <v>33</v>
      </c>
      <c r="X383" s="1">
        <v>84</v>
      </c>
      <c r="Y383" s="1">
        <v>12</v>
      </c>
    </row>
    <row r="384" spans="1:25" x14ac:dyDescent="0.25">
      <c r="A384" s="3">
        <v>373</v>
      </c>
      <c r="C384" s="7">
        <v>45812</v>
      </c>
      <c r="D384" s="3">
        <v>3261</v>
      </c>
      <c r="E384" s="1">
        <v>6044.8</v>
      </c>
      <c r="F384" s="3" t="s">
        <v>2</v>
      </c>
      <c r="G384" s="1">
        <v>391.2</v>
      </c>
      <c r="H384" s="2">
        <v>45812.604166666664</v>
      </c>
      <c r="I384" s="2">
        <v>45812.727083333331</v>
      </c>
      <c r="J384" s="1">
        <f t="shared" si="9"/>
        <v>2.9500000000116415</v>
      </c>
      <c r="K384" s="1">
        <v>132.6101694910021</v>
      </c>
      <c r="L384" s="1">
        <v>32.6</v>
      </c>
      <c r="M384" s="1">
        <v>0</v>
      </c>
      <c r="N384" s="3" t="s">
        <v>5</v>
      </c>
      <c r="O384" s="3" t="s">
        <v>1</v>
      </c>
      <c r="P384" s="8"/>
      <c r="Q384" s="2">
        <v>45812.717881944445</v>
      </c>
      <c r="R384" s="2">
        <v>45812.829652777778</v>
      </c>
      <c r="S384" s="1"/>
      <c r="T384" s="1" t="s">
        <v>87</v>
      </c>
      <c r="U384" s="1">
        <v>7795</v>
      </c>
      <c r="V384" s="1">
        <v>6159.3</v>
      </c>
      <c r="W384" s="1">
        <v>61.7</v>
      </c>
      <c r="X384" s="1">
        <v>161.6</v>
      </c>
      <c r="Y384" s="1">
        <v>12</v>
      </c>
    </row>
    <row r="385" spans="1:25" x14ac:dyDescent="0.25">
      <c r="A385" s="3">
        <v>374</v>
      </c>
      <c r="C385" s="7">
        <v>45813</v>
      </c>
      <c r="D385" s="3">
        <v>3271</v>
      </c>
      <c r="E385" s="1">
        <v>6062.8</v>
      </c>
      <c r="F385" s="3" t="s">
        <v>2</v>
      </c>
      <c r="G385" s="1">
        <v>391.2</v>
      </c>
      <c r="H385" s="2">
        <v>45813.125</v>
      </c>
      <c r="I385" s="2">
        <v>45813.260416666664</v>
      </c>
      <c r="J385" s="1">
        <f t="shared" si="9"/>
        <v>3.2499999999417923</v>
      </c>
      <c r="K385" s="1">
        <v>120.36923077138658</v>
      </c>
      <c r="L385" s="1">
        <v>32.6</v>
      </c>
      <c r="M385" s="1">
        <v>1</v>
      </c>
      <c r="N385" s="3" t="s">
        <v>3</v>
      </c>
      <c r="O385" s="3" t="s">
        <v>1</v>
      </c>
      <c r="P385" s="8" t="s">
        <v>8</v>
      </c>
      <c r="Q385" s="2">
        <v>45813.274965277778</v>
      </c>
      <c r="R385" s="2">
        <v>45813.484965277778</v>
      </c>
      <c r="S385" s="1"/>
      <c r="T385" s="1" t="s">
        <v>87</v>
      </c>
      <c r="U385" s="1">
        <v>17797</v>
      </c>
      <c r="V385" s="1">
        <v>13614.5</v>
      </c>
      <c r="W385" s="1">
        <v>138.30000000000001</v>
      </c>
      <c r="X385" s="1">
        <v>407.7</v>
      </c>
      <c r="Y385" s="1">
        <v>12</v>
      </c>
    </row>
    <row r="386" spans="1:25" x14ac:dyDescent="0.25">
      <c r="A386" s="3">
        <v>375</v>
      </c>
      <c r="C386" s="7">
        <v>45814</v>
      </c>
      <c r="D386" s="3">
        <v>3281</v>
      </c>
      <c r="E386" s="1">
        <v>6080.8</v>
      </c>
      <c r="F386" s="3" t="s">
        <v>2</v>
      </c>
      <c r="G386" s="1">
        <v>391.2</v>
      </c>
      <c r="H386" s="2">
        <v>45814.25</v>
      </c>
      <c r="I386" s="2">
        <v>45814.366666666669</v>
      </c>
      <c r="J386" s="1">
        <f t="shared" ref="J386:J449" si="10">(I386-H386)*24</f>
        <v>2.8000000000465661</v>
      </c>
      <c r="K386" s="1">
        <v>139.71428571196216</v>
      </c>
      <c r="L386" s="1">
        <v>32.6</v>
      </c>
      <c r="M386" s="1">
        <v>2</v>
      </c>
      <c r="N386" s="3" t="s">
        <v>3</v>
      </c>
      <c r="O386" s="3" t="s">
        <v>1</v>
      </c>
      <c r="P386" s="8" t="s">
        <v>8</v>
      </c>
      <c r="Q386" s="2">
        <v>45814.370821759258</v>
      </c>
      <c r="R386" s="2">
        <v>45814.47965277778</v>
      </c>
      <c r="S386" s="1"/>
      <c r="T386" s="1" t="s">
        <v>87</v>
      </c>
      <c r="U386" s="1">
        <v>7445</v>
      </c>
      <c r="V386" s="1">
        <v>6065.2</v>
      </c>
      <c r="W386" s="1">
        <v>60.9</v>
      </c>
      <c r="X386" s="1">
        <v>179.3</v>
      </c>
      <c r="Y386" s="1">
        <v>12</v>
      </c>
    </row>
    <row r="387" spans="1:25" x14ac:dyDescent="0.25">
      <c r="A387" s="3">
        <v>376</v>
      </c>
      <c r="C387" s="7">
        <v>45815</v>
      </c>
      <c r="D387" s="3">
        <v>3291</v>
      </c>
      <c r="E387" s="1">
        <v>6098.8</v>
      </c>
      <c r="F387" s="3" t="s">
        <v>2</v>
      </c>
      <c r="G387" s="1">
        <v>375.4</v>
      </c>
      <c r="H387" s="2">
        <v>45814.875</v>
      </c>
      <c r="I387" s="2">
        <v>45815.065972222219</v>
      </c>
      <c r="J387" s="1">
        <f t="shared" si="10"/>
        <v>4.5833333332557231</v>
      </c>
      <c r="K387" s="1">
        <v>81.905454546841455</v>
      </c>
      <c r="L387" s="1">
        <v>32.6</v>
      </c>
      <c r="M387" s="1">
        <v>0</v>
      </c>
      <c r="N387" s="3" t="s">
        <v>5</v>
      </c>
      <c r="O387" s="3" t="s">
        <v>1</v>
      </c>
      <c r="P387" s="8"/>
      <c r="Q387" s="2">
        <v>45815.068807870368</v>
      </c>
      <c r="R387" s="2">
        <v>45815.174525462964</v>
      </c>
      <c r="S387" s="1"/>
      <c r="T387" s="1" t="s">
        <v>87</v>
      </c>
      <c r="U387" s="1">
        <v>12650</v>
      </c>
      <c r="V387" s="1">
        <v>10886.1</v>
      </c>
      <c r="W387" s="1">
        <v>109.3</v>
      </c>
      <c r="X387" s="1">
        <v>254</v>
      </c>
      <c r="Y387" s="1">
        <v>12</v>
      </c>
    </row>
    <row r="388" spans="1:25" x14ac:dyDescent="0.25">
      <c r="A388" s="3">
        <v>377</v>
      </c>
      <c r="C388" s="7">
        <v>45815</v>
      </c>
      <c r="D388" s="3">
        <v>3299</v>
      </c>
      <c r="E388" s="1">
        <v>6113.2</v>
      </c>
      <c r="F388" s="3" t="s">
        <v>2</v>
      </c>
      <c r="G388" s="1">
        <v>423.8</v>
      </c>
      <c r="H388" s="2">
        <v>45815.436805555553</v>
      </c>
      <c r="I388" s="2">
        <v>45815.715277777781</v>
      </c>
      <c r="J388" s="1">
        <f t="shared" si="10"/>
        <v>6.6833333334652707</v>
      </c>
      <c r="K388" s="1">
        <v>63.411471320443944</v>
      </c>
      <c r="L388" s="1">
        <v>32.6</v>
      </c>
      <c r="M388" s="1">
        <v>2</v>
      </c>
      <c r="N388" s="3" t="s">
        <v>5</v>
      </c>
      <c r="O388" s="3" t="s">
        <v>1</v>
      </c>
      <c r="P388" s="8"/>
      <c r="Q388" s="2">
        <v>45815.732407407406</v>
      </c>
      <c r="R388" s="2">
        <v>45815.809918981482</v>
      </c>
      <c r="S388" s="1"/>
      <c r="T388" s="1" t="s">
        <v>87</v>
      </c>
      <c r="U388" s="1">
        <v>6614</v>
      </c>
      <c r="V388" s="1">
        <v>5738</v>
      </c>
      <c r="W388" s="1">
        <v>57.6</v>
      </c>
      <c r="X388" s="1">
        <v>125.7</v>
      </c>
      <c r="Y388" s="1">
        <v>12</v>
      </c>
    </row>
    <row r="389" spans="1:25" x14ac:dyDescent="0.25">
      <c r="A389" s="3">
        <v>378</v>
      </c>
      <c r="C389" s="7">
        <v>45817</v>
      </c>
      <c r="D389" s="3">
        <v>3309</v>
      </c>
      <c r="E389" s="1">
        <v>6131.2</v>
      </c>
      <c r="F389" s="3" t="s">
        <v>2</v>
      </c>
      <c r="G389" s="1">
        <v>394.2</v>
      </c>
      <c r="H389" s="2">
        <v>45817.555555555555</v>
      </c>
      <c r="I389" s="2">
        <v>45817.708333333336</v>
      </c>
      <c r="J389" s="1">
        <f t="shared" si="10"/>
        <v>3.6666666667442769</v>
      </c>
      <c r="K389" s="1">
        <v>107.50909090681532</v>
      </c>
      <c r="L389" s="1">
        <v>32.6</v>
      </c>
      <c r="M389" s="1">
        <v>0</v>
      </c>
      <c r="N389" s="3" t="s">
        <v>3</v>
      </c>
      <c r="O389" s="3" t="s">
        <v>1</v>
      </c>
      <c r="P389" s="8" t="s">
        <v>7</v>
      </c>
      <c r="Q389" s="2">
        <v>45817.690729166665</v>
      </c>
      <c r="R389" s="2">
        <v>45817.805775462963</v>
      </c>
      <c r="S389" s="1"/>
      <c r="T389" s="1" t="s">
        <v>87</v>
      </c>
      <c r="U389" s="1">
        <v>10376</v>
      </c>
      <c r="V389" s="1">
        <v>7513.2</v>
      </c>
      <c r="W389" s="1">
        <v>78.3</v>
      </c>
      <c r="X389" s="1">
        <v>141.9</v>
      </c>
      <c r="Y389" s="1">
        <v>13</v>
      </c>
    </row>
    <row r="390" spans="1:25" x14ac:dyDescent="0.25">
      <c r="A390" s="3">
        <v>379</v>
      </c>
      <c r="C390" s="7">
        <v>45818</v>
      </c>
      <c r="D390" s="3">
        <v>3319</v>
      </c>
      <c r="E390" s="1">
        <v>6148.9</v>
      </c>
      <c r="F390" s="3" t="s">
        <v>2</v>
      </c>
      <c r="G390" s="1">
        <v>371.21</v>
      </c>
      <c r="H390" s="2">
        <v>45818.114583333336</v>
      </c>
      <c r="I390" s="2">
        <v>45818.305555555555</v>
      </c>
      <c r="J390" s="1">
        <f t="shared" si="10"/>
        <v>4.5833333332557231</v>
      </c>
      <c r="K390" s="1">
        <v>80.991272728644162</v>
      </c>
      <c r="L390" s="1">
        <v>32.6</v>
      </c>
      <c r="M390" s="1">
        <v>0</v>
      </c>
      <c r="N390" s="3" t="s">
        <v>3</v>
      </c>
      <c r="O390" s="3" t="s">
        <v>1</v>
      </c>
      <c r="P390" s="8" t="s">
        <v>41</v>
      </c>
      <c r="Q390" s="2">
        <v>45818.278958333336</v>
      </c>
      <c r="R390" s="2">
        <v>45818.386979166666</v>
      </c>
      <c r="S390" s="1"/>
      <c r="T390" s="1" t="s">
        <v>87</v>
      </c>
      <c r="U390" s="1">
        <v>11626</v>
      </c>
      <c r="V390" s="1">
        <v>8476.2000000000007</v>
      </c>
      <c r="W390" s="1">
        <v>85</v>
      </c>
      <c r="X390" s="1">
        <v>224.7</v>
      </c>
      <c r="Y390" s="1">
        <v>12</v>
      </c>
    </row>
    <row r="391" spans="1:25" x14ac:dyDescent="0.25">
      <c r="A391" s="3">
        <v>380</v>
      </c>
      <c r="C391" s="7">
        <v>45818</v>
      </c>
      <c r="D391" s="3">
        <v>3329</v>
      </c>
      <c r="E391" s="1">
        <v>6167.19</v>
      </c>
      <c r="F391" s="3" t="s">
        <v>2</v>
      </c>
      <c r="G391" s="1">
        <v>437.2</v>
      </c>
      <c r="H391" s="2">
        <v>45818.833333333336</v>
      </c>
      <c r="I391" s="2">
        <v>45818.990277777775</v>
      </c>
      <c r="J391" s="1">
        <f t="shared" si="10"/>
        <v>3.7666666665463708</v>
      </c>
      <c r="K391" s="1">
        <v>116.07079646388394</v>
      </c>
      <c r="L391" s="1">
        <v>36.6</v>
      </c>
      <c r="M391" s="1">
        <v>1.5</v>
      </c>
      <c r="N391" s="3" t="s">
        <v>3</v>
      </c>
      <c r="O391" s="3" t="s">
        <v>1</v>
      </c>
      <c r="P391" s="8" t="s">
        <v>7</v>
      </c>
      <c r="Q391" s="2">
        <v>45818.991666666669</v>
      </c>
      <c r="R391" s="2">
        <v>45819.13958333333</v>
      </c>
      <c r="S391" s="1"/>
      <c r="T391" s="1" t="s">
        <v>87</v>
      </c>
      <c r="U391" s="1">
        <v>15978</v>
      </c>
      <c r="V391" s="1">
        <v>12196.600000000002</v>
      </c>
      <c r="W391" s="1">
        <v>122</v>
      </c>
      <c r="X391" s="1">
        <v>460.19999999999993</v>
      </c>
      <c r="Y391" s="1">
        <v>12</v>
      </c>
    </row>
    <row r="392" spans="1:25" x14ac:dyDescent="0.25">
      <c r="A392" s="3">
        <v>381</v>
      </c>
      <c r="C392" s="7">
        <v>45819</v>
      </c>
      <c r="D392" s="3">
        <v>3341</v>
      </c>
      <c r="E392" s="1">
        <v>6188.8</v>
      </c>
      <c r="F392" s="3" t="s">
        <v>2</v>
      </c>
      <c r="G392" s="1">
        <v>439.2</v>
      </c>
      <c r="H392" s="2">
        <v>45819.53125</v>
      </c>
      <c r="I392" s="2">
        <v>45819.767361111109</v>
      </c>
      <c r="J392" s="1">
        <f t="shared" si="10"/>
        <v>5.6666666666278616</v>
      </c>
      <c r="K392" s="1">
        <v>77.505882353471932</v>
      </c>
      <c r="L392" s="1">
        <v>36.6</v>
      </c>
      <c r="M392" s="1">
        <v>3</v>
      </c>
      <c r="N392" s="3" t="s">
        <v>5</v>
      </c>
      <c r="O392" s="3" t="s">
        <v>1</v>
      </c>
      <c r="P392" s="8"/>
      <c r="Q392" s="2">
        <v>45819.726111111115</v>
      </c>
      <c r="R392" s="2">
        <v>45819.92564814815</v>
      </c>
      <c r="S392" s="1"/>
      <c r="T392" s="1" t="s">
        <v>87</v>
      </c>
      <c r="U392" s="1">
        <v>21670</v>
      </c>
      <c r="V392" s="1">
        <v>16821.599999999995</v>
      </c>
      <c r="W392" s="1">
        <v>175.89999999999998</v>
      </c>
      <c r="X392" s="1">
        <v>549.70000000000005</v>
      </c>
      <c r="Y392" s="1">
        <v>12</v>
      </c>
    </row>
    <row r="393" spans="1:25" x14ac:dyDescent="0.25">
      <c r="A393" s="3">
        <v>382</v>
      </c>
      <c r="C393" s="7">
        <v>45820</v>
      </c>
      <c r="D393" s="3">
        <v>3353</v>
      </c>
      <c r="E393" s="1">
        <v>6210.42</v>
      </c>
      <c r="F393" s="3" t="s">
        <v>2</v>
      </c>
      <c r="G393" s="1">
        <v>475.8</v>
      </c>
      <c r="H393" s="2">
        <v>45820.4375</v>
      </c>
      <c r="I393" s="2">
        <v>45820.559027777781</v>
      </c>
      <c r="J393" s="1">
        <f t="shared" si="10"/>
        <v>2.9166666667442769</v>
      </c>
      <c r="K393" s="1">
        <v>163.13142856708777</v>
      </c>
      <c r="L393" s="1">
        <v>36.6</v>
      </c>
      <c r="M393" s="1">
        <v>0</v>
      </c>
      <c r="N393" s="3" t="s">
        <v>5</v>
      </c>
      <c r="O393" s="3" t="s">
        <v>1</v>
      </c>
      <c r="P393" s="8"/>
      <c r="Q393" s="2">
        <v>45820.438194444447</v>
      </c>
      <c r="R393" s="2">
        <v>45820.558333333334</v>
      </c>
      <c r="S393" s="1"/>
      <c r="T393" s="1" t="s">
        <v>87</v>
      </c>
      <c r="U393" s="1">
        <v>9998</v>
      </c>
      <c r="V393" s="1">
        <v>7315</v>
      </c>
      <c r="W393" s="1">
        <v>77</v>
      </c>
      <c r="X393" s="1">
        <v>216</v>
      </c>
      <c r="Y393" s="1">
        <v>12</v>
      </c>
    </row>
    <row r="394" spans="1:25" x14ac:dyDescent="0.25">
      <c r="A394" s="3">
        <v>383</v>
      </c>
      <c r="C394" s="7">
        <v>45820</v>
      </c>
      <c r="D394" s="3">
        <v>3365</v>
      </c>
      <c r="E394" s="1">
        <v>6232.02</v>
      </c>
      <c r="F394" s="3" t="s">
        <v>2</v>
      </c>
      <c r="G394" s="1">
        <v>438.5</v>
      </c>
      <c r="H394" s="2">
        <v>45821.0625</v>
      </c>
      <c r="I394" s="2">
        <v>45821.184027777781</v>
      </c>
      <c r="J394" s="1">
        <f t="shared" si="10"/>
        <v>2.9166666667442769</v>
      </c>
      <c r="K394" s="1">
        <v>150.34285713885663</v>
      </c>
      <c r="L394" s="1">
        <v>36.6</v>
      </c>
      <c r="M394" s="1">
        <v>0</v>
      </c>
      <c r="N394" s="3" t="s">
        <v>3</v>
      </c>
      <c r="O394" s="3">
        <v>1</v>
      </c>
      <c r="P394" s="8" t="s">
        <v>7</v>
      </c>
      <c r="Q394" s="2">
        <v>45821.202777777777</v>
      </c>
      <c r="R394" s="2">
        <v>45821.362500000003</v>
      </c>
      <c r="S394" s="1"/>
      <c r="T394" s="1" t="s">
        <v>87</v>
      </c>
      <c r="U394" s="1">
        <v>16118</v>
      </c>
      <c r="V394" s="1">
        <v>12828</v>
      </c>
      <c r="W394" s="1">
        <v>129</v>
      </c>
      <c r="X394" s="1">
        <v>384</v>
      </c>
      <c r="Y394" s="1">
        <v>12</v>
      </c>
    </row>
    <row r="395" spans="1:25" x14ac:dyDescent="0.25">
      <c r="A395" s="3">
        <v>384</v>
      </c>
      <c r="C395" s="7">
        <v>45821</v>
      </c>
      <c r="D395" s="3">
        <v>3377</v>
      </c>
      <c r="E395" s="1">
        <v>6254</v>
      </c>
      <c r="F395" s="3" t="s">
        <v>2</v>
      </c>
      <c r="G395" s="1">
        <v>423.4</v>
      </c>
      <c r="H395" s="2">
        <v>45821.790277777778</v>
      </c>
      <c r="I395" s="2">
        <v>45821.925694444442</v>
      </c>
      <c r="J395" s="1">
        <f t="shared" si="10"/>
        <v>3.2499999999417923</v>
      </c>
      <c r="K395" s="1">
        <v>130.27692307925633</v>
      </c>
      <c r="L395" s="1">
        <v>36.6</v>
      </c>
      <c r="M395" s="1">
        <v>5</v>
      </c>
      <c r="N395" s="3" t="s">
        <v>3</v>
      </c>
      <c r="O395" s="3">
        <v>1</v>
      </c>
      <c r="P395" s="8" t="s">
        <v>7</v>
      </c>
      <c r="Q395" s="2">
        <v>45821.935023148151</v>
      </c>
      <c r="R395" s="2">
        <v>45822.058159722219</v>
      </c>
      <c r="S395" s="1"/>
      <c r="T395" s="1" t="s">
        <v>87</v>
      </c>
      <c r="U395" s="1">
        <v>9703</v>
      </c>
      <c r="V395" s="1">
        <v>7016.6000000000013</v>
      </c>
      <c r="W395" s="1">
        <v>71.399999999999991</v>
      </c>
      <c r="X395" s="1">
        <v>338.5</v>
      </c>
      <c r="Y395" s="1">
        <v>12</v>
      </c>
    </row>
    <row r="396" spans="1:25" x14ac:dyDescent="0.25">
      <c r="A396" s="3">
        <v>385</v>
      </c>
      <c r="C396" s="7">
        <v>45824</v>
      </c>
      <c r="D396" s="3">
        <v>3389</v>
      </c>
      <c r="E396" s="1">
        <v>6275</v>
      </c>
      <c r="F396" s="3" t="s">
        <v>2</v>
      </c>
      <c r="G396" s="1">
        <v>473.2</v>
      </c>
      <c r="H396" s="2">
        <v>45824.302083333336</v>
      </c>
      <c r="I396" s="2">
        <v>45824.506944444445</v>
      </c>
      <c r="J396" s="1">
        <f t="shared" si="10"/>
        <v>4.9166666666278616</v>
      </c>
      <c r="K396" s="1">
        <v>96.24406779736978</v>
      </c>
      <c r="L396" s="1">
        <v>36.6</v>
      </c>
      <c r="M396" s="1">
        <v>1</v>
      </c>
      <c r="N396" s="3" t="s">
        <v>5</v>
      </c>
      <c r="O396" s="3" t="s">
        <v>1</v>
      </c>
      <c r="P396" s="8"/>
      <c r="Q396" s="2">
        <v>45824.517766203702</v>
      </c>
      <c r="R396" s="2">
        <v>45824.69054398148</v>
      </c>
      <c r="S396" s="1"/>
      <c r="T396" s="1" t="s">
        <v>87</v>
      </c>
      <c r="U396" s="1">
        <v>13196</v>
      </c>
      <c r="V396" s="1">
        <v>10187</v>
      </c>
      <c r="W396" s="1">
        <v>103</v>
      </c>
      <c r="X396" s="1">
        <v>238</v>
      </c>
      <c r="Y396" s="1">
        <v>12</v>
      </c>
    </row>
    <row r="397" spans="1:25" x14ac:dyDescent="0.25">
      <c r="A397" s="3">
        <v>386</v>
      </c>
      <c r="C397" s="7">
        <v>45825</v>
      </c>
      <c r="D397" s="3">
        <v>3403</v>
      </c>
      <c r="E397" s="1">
        <v>6300.4</v>
      </c>
      <c r="F397" s="3" t="s">
        <v>2</v>
      </c>
      <c r="G397" s="1">
        <v>391.13</v>
      </c>
      <c r="H397" s="2">
        <v>45825.433333333334</v>
      </c>
      <c r="I397" s="2">
        <v>45825.609027777777</v>
      </c>
      <c r="J397" s="1">
        <f t="shared" si="10"/>
        <v>4.21666666661622</v>
      </c>
      <c r="K397" s="1">
        <v>92.758102767908142</v>
      </c>
      <c r="L397" s="1">
        <v>32.6</v>
      </c>
      <c r="M397" s="1">
        <v>5</v>
      </c>
      <c r="N397" s="3" t="s">
        <v>5</v>
      </c>
      <c r="O397" s="3" t="s">
        <v>1</v>
      </c>
      <c r="P397" s="8"/>
      <c r="Q397" s="2">
        <v>45825.439189814817</v>
      </c>
      <c r="R397" s="2">
        <v>45825.608888888892</v>
      </c>
      <c r="S397" s="1"/>
      <c r="T397" s="1" t="s">
        <v>87</v>
      </c>
      <c r="U397" s="1">
        <v>17284</v>
      </c>
      <c r="V397" s="1">
        <v>11855</v>
      </c>
      <c r="W397" s="1">
        <v>121</v>
      </c>
      <c r="X397" s="1">
        <v>309</v>
      </c>
      <c r="Y397" s="1">
        <v>12</v>
      </c>
    </row>
    <row r="398" spans="1:25" x14ac:dyDescent="0.25">
      <c r="A398" s="3">
        <v>387</v>
      </c>
      <c r="C398" s="7">
        <v>45825</v>
      </c>
      <c r="D398" s="3">
        <v>3413</v>
      </c>
      <c r="E398" s="1">
        <v>6318.45</v>
      </c>
      <c r="F398" s="3" t="s">
        <v>2</v>
      </c>
      <c r="G398" s="1">
        <v>480</v>
      </c>
      <c r="H398" s="2">
        <v>45825.90625</v>
      </c>
      <c r="I398" s="2">
        <v>45826.081944444442</v>
      </c>
      <c r="J398" s="1">
        <f t="shared" si="10"/>
        <v>4.21666666661622</v>
      </c>
      <c r="K398" s="1">
        <v>113.83399209622353</v>
      </c>
      <c r="L398" s="1">
        <v>40</v>
      </c>
      <c r="M398" s="1">
        <v>0</v>
      </c>
      <c r="N398" s="3" t="s">
        <v>5</v>
      </c>
      <c r="O398" s="3" t="s">
        <v>1</v>
      </c>
      <c r="P398" s="8"/>
      <c r="Q398" s="2">
        <v>45826.048379629632</v>
      </c>
      <c r="R398" s="2">
        <v>45826.185057870367</v>
      </c>
      <c r="S398" s="1"/>
      <c r="T398" s="1" t="s">
        <v>87</v>
      </c>
      <c r="U398" s="1">
        <v>8887</v>
      </c>
      <c r="V398" s="1">
        <v>6976</v>
      </c>
      <c r="W398" s="1">
        <v>75</v>
      </c>
      <c r="X398" s="1">
        <v>311</v>
      </c>
      <c r="Y398" s="1">
        <v>12</v>
      </c>
    </row>
    <row r="399" spans="1:25" x14ac:dyDescent="0.25">
      <c r="A399" s="3">
        <v>388</v>
      </c>
      <c r="C399" s="7">
        <v>45827</v>
      </c>
      <c r="D399" s="3">
        <v>3427</v>
      </c>
      <c r="E399" s="1">
        <v>6343.7</v>
      </c>
      <c r="F399" s="3" t="s">
        <v>2</v>
      </c>
      <c r="G399" s="1">
        <v>474</v>
      </c>
      <c r="H399" s="2">
        <v>45827.170138888891</v>
      </c>
      <c r="I399" s="2">
        <v>45827.322916666664</v>
      </c>
      <c r="J399" s="1">
        <f t="shared" si="10"/>
        <v>3.6666666665696539</v>
      </c>
      <c r="K399" s="1">
        <v>129.27272727614758</v>
      </c>
      <c r="L399" s="1">
        <v>40</v>
      </c>
      <c r="M399" s="1">
        <v>10</v>
      </c>
      <c r="N399" s="3" t="s">
        <v>3</v>
      </c>
      <c r="O399" s="3">
        <v>1</v>
      </c>
      <c r="P399" s="8" t="s">
        <v>7</v>
      </c>
      <c r="Q399" s="2">
        <v>45827.321701388886</v>
      </c>
      <c r="R399" s="2">
        <v>45827.553391203706</v>
      </c>
      <c r="S399" s="1"/>
      <c r="T399" s="1" t="s">
        <v>87</v>
      </c>
      <c r="U399" s="1">
        <v>27007</v>
      </c>
      <c r="V399" s="1">
        <v>20526</v>
      </c>
      <c r="W399" s="1">
        <v>206</v>
      </c>
      <c r="X399" s="1">
        <v>601</v>
      </c>
      <c r="Y399" s="1">
        <v>12</v>
      </c>
    </row>
    <row r="400" spans="1:25" x14ac:dyDescent="0.25">
      <c r="A400" s="3">
        <v>389</v>
      </c>
      <c r="C400" s="7">
        <v>45827</v>
      </c>
      <c r="D400" s="3">
        <v>3441</v>
      </c>
      <c r="E400" s="1">
        <v>6369.4</v>
      </c>
      <c r="F400" s="3" t="s">
        <v>2</v>
      </c>
      <c r="G400" s="1">
        <v>485.12</v>
      </c>
      <c r="H400" s="2">
        <v>45827.989583333336</v>
      </c>
      <c r="I400" s="2">
        <v>45828.118055555555</v>
      </c>
      <c r="J400" s="1">
        <f t="shared" si="10"/>
        <v>3.0833333332557231</v>
      </c>
      <c r="K400" s="1">
        <v>157.33621622017651</v>
      </c>
      <c r="L400" s="1">
        <v>40</v>
      </c>
      <c r="M400" s="1">
        <v>0.5</v>
      </c>
      <c r="N400" s="3" t="s">
        <v>5</v>
      </c>
      <c r="O400" s="3" t="s">
        <v>1</v>
      </c>
      <c r="P400" s="8"/>
      <c r="Q400" s="2">
        <v>45828.126921296294</v>
      </c>
      <c r="R400" s="2">
        <v>45828.332557870373</v>
      </c>
      <c r="S400" s="1"/>
      <c r="T400" s="1" t="s">
        <v>87</v>
      </c>
      <c r="U400" s="1">
        <v>19691</v>
      </c>
      <c r="V400" s="1">
        <v>15029</v>
      </c>
      <c r="W400" s="1">
        <v>152</v>
      </c>
      <c r="X400" s="1">
        <v>572</v>
      </c>
      <c r="Y400" s="1">
        <v>12</v>
      </c>
    </row>
    <row r="401" spans="1:25" x14ac:dyDescent="0.25">
      <c r="A401" s="3">
        <v>390</v>
      </c>
      <c r="C401" s="7">
        <v>45828</v>
      </c>
      <c r="D401" s="3">
        <v>3455</v>
      </c>
      <c r="E401" s="1">
        <v>6394.6</v>
      </c>
      <c r="F401" s="3" t="s">
        <v>2</v>
      </c>
      <c r="G401" s="1">
        <v>480</v>
      </c>
      <c r="H401" s="2">
        <v>45828.861111111109</v>
      </c>
      <c r="I401" s="2">
        <v>45829.003472222219</v>
      </c>
      <c r="J401" s="1">
        <f t="shared" si="10"/>
        <v>3.4166666666278616</v>
      </c>
      <c r="K401" s="1">
        <v>140.48780487964439</v>
      </c>
      <c r="L401" s="1">
        <v>40</v>
      </c>
      <c r="M401" s="1">
        <v>0</v>
      </c>
      <c r="N401" s="3" t="s">
        <v>5</v>
      </c>
      <c r="O401" s="3" t="s">
        <v>1</v>
      </c>
      <c r="P401" s="8"/>
      <c r="Q401" s="2">
        <v>45828.993958333333</v>
      </c>
      <c r="R401" s="2">
        <v>45829.129837962966</v>
      </c>
      <c r="S401" s="1"/>
      <c r="T401" s="1" t="s">
        <v>87</v>
      </c>
      <c r="U401" s="1">
        <v>14482</v>
      </c>
      <c r="V401" s="1">
        <v>11025</v>
      </c>
      <c r="W401" s="1">
        <v>113</v>
      </c>
      <c r="X401" s="1">
        <v>459</v>
      </c>
      <c r="Y401" s="1">
        <v>12</v>
      </c>
    </row>
    <row r="402" spans="1:25" x14ac:dyDescent="0.25">
      <c r="A402" s="3">
        <v>391</v>
      </c>
      <c r="C402" s="7">
        <v>45829</v>
      </c>
      <c r="D402" s="3">
        <v>3469</v>
      </c>
      <c r="E402" s="1">
        <v>6419.2</v>
      </c>
      <c r="F402" s="3" t="s">
        <v>2</v>
      </c>
      <c r="G402" s="1">
        <v>470.12</v>
      </c>
      <c r="H402" s="2">
        <v>45829.659722222219</v>
      </c>
      <c r="I402" s="2">
        <v>45829.882638888892</v>
      </c>
      <c r="J402" s="1">
        <f t="shared" si="10"/>
        <v>5.3500000001513399</v>
      </c>
      <c r="K402" s="1">
        <v>87.872897193775955</v>
      </c>
      <c r="L402" s="1">
        <v>40</v>
      </c>
      <c r="M402" s="1">
        <v>2</v>
      </c>
      <c r="N402" s="3" t="s">
        <v>5</v>
      </c>
      <c r="O402" s="3" t="s">
        <v>1</v>
      </c>
      <c r="P402" s="8"/>
      <c r="Q402" s="2">
        <v>45829.884618055556</v>
      </c>
      <c r="R402" s="2">
        <v>45830.000115740739</v>
      </c>
      <c r="S402" s="1"/>
      <c r="T402" s="1" t="s">
        <v>87</v>
      </c>
      <c r="U402" s="1">
        <v>10424</v>
      </c>
      <c r="V402" s="1">
        <v>8191</v>
      </c>
      <c r="W402" s="1">
        <v>83</v>
      </c>
      <c r="X402" s="1">
        <v>323</v>
      </c>
      <c r="Y402" s="1">
        <v>12</v>
      </c>
    </row>
    <row r="403" spans="1:25" x14ac:dyDescent="0.25">
      <c r="A403" s="3">
        <v>392</v>
      </c>
      <c r="C403" s="7">
        <v>45831</v>
      </c>
      <c r="D403" s="3">
        <v>3483</v>
      </c>
      <c r="E403" s="1">
        <v>6444.4</v>
      </c>
      <c r="F403" s="3" t="s">
        <v>2</v>
      </c>
      <c r="G403" s="1">
        <v>480</v>
      </c>
      <c r="H403" s="2">
        <v>45831.888888888891</v>
      </c>
      <c r="I403" s="2">
        <v>45832.032638888886</v>
      </c>
      <c r="J403" s="1">
        <f t="shared" si="10"/>
        <v>3.4499999998952262</v>
      </c>
      <c r="K403" s="1">
        <v>139.13043478683397</v>
      </c>
      <c r="L403" s="1">
        <v>40</v>
      </c>
      <c r="M403" s="1">
        <v>0</v>
      </c>
      <c r="N403" s="3" t="s">
        <v>3</v>
      </c>
      <c r="O403" s="3">
        <v>1</v>
      </c>
      <c r="P403" s="8" t="s">
        <v>7</v>
      </c>
      <c r="Q403" s="2">
        <v>45832.033877314818</v>
      </c>
      <c r="R403" s="2">
        <v>45832.44023148148</v>
      </c>
      <c r="S403" s="1"/>
      <c r="T403" s="1" t="s">
        <v>87</v>
      </c>
      <c r="U403" s="1">
        <v>35139</v>
      </c>
      <c r="V403" s="1">
        <v>27712</v>
      </c>
      <c r="W403" s="1">
        <v>279</v>
      </c>
      <c r="X403" s="1">
        <v>784</v>
      </c>
      <c r="Y403" s="1">
        <v>12</v>
      </c>
    </row>
    <row r="404" spans="1:25" x14ac:dyDescent="0.25">
      <c r="A404" s="3">
        <v>393</v>
      </c>
      <c r="C404" s="7">
        <v>45832</v>
      </c>
      <c r="D404" s="3">
        <v>3497</v>
      </c>
      <c r="E404" s="1">
        <v>6469.66</v>
      </c>
      <c r="F404" s="3" t="s">
        <v>2</v>
      </c>
      <c r="G404" s="1">
        <v>480</v>
      </c>
      <c r="H404" s="2">
        <v>45832.842361111114</v>
      </c>
      <c r="I404" s="2">
        <v>45832.979166666664</v>
      </c>
      <c r="J404" s="1">
        <f t="shared" si="10"/>
        <v>3.283333333209157</v>
      </c>
      <c r="K404" s="1">
        <v>146.19289340654427</v>
      </c>
      <c r="L404" s="1">
        <v>40</v>
      </c>
      <c r="M404" s="1">
        <v>9</v>
      </c>
      <c r="N404" s="3" t="s">
        <v>5</v>
      </c>
      <c r="O404" s="3" t="s">
        <v>1</v>
      </c>
      <c r="P404" s="8"/>
      <c r="Q404" s="2">
        <v>45832.97152777778</v>
      </c>
      <c r="R404" s="2">
        <v>45833.198611111111</v>
      </c>
      <c r="S404" s="1"/>
      <c r="T404" s="1" t="s">
        <v>87</v>
      </c>
      <c r="U404" s="1">
        <v>20762</v>
      </c>
      <c r="V404" s="1">
        <v>16269</v>
      </c>
      <c r="W404" s="1">
        <v>163</v>
      </c>
      <c r="X404" s="1">
        <v>497</v>
      </c>
      <c r="Y404" s="1">
        <v>12</v>
      </c>
    </row>
    <row r="405" spans="1:25" x14ac:dyDescent="0.25">
      <c r="A405" s="3">
        <v>394</v>
      </c>
      <c r="C405" s="7">
        <v>45833</v>
      </c>
      <c r="D405" s="3">
        <v>3511</v>
      </c>
      <c r="E405" s="1">
        <v>6494.9</v>
      </c>
      <c r="F405" s="3" t="s">
        <v>2</v>
      </c>
      <c r="G405" s="1">
        <v>456</v>
      </c>
      <c r="H405" s="2">
        <v>45833.633333333331</v>
      </c>
      <c r="I405" s="2">
        <v>45833.763888888891</v>
      </c>
      <c r="J405" s="1">
        <f t="shared" si="10"/>
        <v>3.1333333334187046</v>
      </c>
      <c r="K405" s="1">
        <v>145.53191488965183</v>
      </c>
      <c r="L405" s="1">
        <v>40</v>
      </c>
      <c r="M405" s="1">
        <v>0</v>
      </c>
      <c r="N405" s="3" t="s">
        <v>5</v>
      </c>
      <c r="O405" s="3" t="s">
        <v>1</v>
      </c>
      <c r="P405" s="8"/>
      <c r="Q405" s="2">
        <v>45833.783541666664</v>
      </c>
      <c r="R405" s="2">
        <v>45833.987071759257</v>
      </c>
      <c r="S405" s="1"/>
      <c r="T405" s="1" t="s">
        <v>87</v>
      </c>
      <c r="U405" s="1">
        <v>19788</v>
      </c>
      <c r="V405" s="1">
        <v>17821</v>
      </c>
      <c r="W405" s="1">
        <v>179</v>
      </c>
      <c r="X405" s="1">
        <v>527</v>
      </c>
      <c r="Y405" s="1">
        <v>12</v>
      </c>
    </row>
    <row r="406" spans="1:25" x14ac:dyDescent="0.25">
      <c r="A406" s="3">
        <v>395</v>
      </c>
      <c r="C406" s="7">
        <v>45834</v>
      </c>
      <c r="D406" s="3">
        <v>3525</v>
      </c>
      <c r="E406" s="1">
        <v>6519.7</v>
      </c>
      <c r="F406" s="3" t="s">
        <v>2</v>
      </c>
      <c r="G406" s="1">
        <v>480</v>
      </c>
      <c r="H406" s="2">
        <v>45834.650694444441</v>
      </c>
      <c r="I406" s="2">
        <v>45834.773611111108</v>
      </c>
      <c r="J406" s="1">
        <f t="shared" si="10"/>
        <v>2.9500000000116415</v>
      </c>
      <c r="K406" s="1">
        <v>162.71186440613755</v>
      </c>
      <c r="L406" s="1">
        <v>40</v>
      </c>
      <c r="M406" s="1">
        <v>0</v>
      </c>
      <c r="N406" s="3" t="s">
        <v>5</v>
      </c>
      <c r="O406" s="3" t="s">
        <v>1</v>
      </c>
      <c r="P406" s="8" t="s">
        <v>42</v>
      </c>
      <c r="Q406" s="2">
        <v>45834.757696759261</v>
      </c>
      <c r="R406" s="2">
        <v>45834.938761574071</v>
      </c>
      <c r="S406" s="1"/>
      <c r="T406" s="1" t="s">
        <v>87</v>
      </c>
      <c r="U406" s="1">
        <v>11459</v>
      </c>
      <c r="V406" s="1">
        <v>8864</v>
      </c>
      <c r="W406" s="1">
        <v>93</v>
      </c>
      <c r="X406" s="1">
        <v>311</v>
      </c>
      <c r="Y406" s="1">
        <v>12</v>
      </c>
    </row>
    <row r="407" spans="1:25" x14ac:dyDescent="0.25">
      <c r="A407" s="3">
        <v>396</v>
      </c>
      <c r="C407" s="7">
        <v>45835</v>
      </c>
      <c r="D407" s="3">
        <v>3539</v>
      </c>
      <c r="E407" s="1">
        <v>6545.2</v>
      </c>
      <c r="F407" s="3" t="s">
        <v>2</v>
      </c>
      <c r="G407" s="1">
        <v>480</v>
      </c>
      <c r="H407" s="2">
        <v>45835.340277777781</v>
      </c>
      <c r="I407" s="2">
        <v>45835.490972222222</v>
      </c>
      <c r="J407" s="1">
        <f t="shared" si="10"/>
        <v>3.6166666665812954</v>
      </c>
      <c r="K407" s="1">
        <v>132.71889401234941</v>
      </c>
      <c r="L407" s="1">
        <v>40</v>
      </c>
      <c r="M407" s="1">
        <v>0</v>
      </c>
      <c r="N407" s="3" t="s">
        <v>3</v>
      </c>
      <c r="O407" s="3">
        <v>1</v>
      </c>
      <c r="P407" s="8" t="s">
        <v>43</v>
      </c>
      <c r="Q407" s="2">
        <v>45835.45076388889</v>
      </c>
      <c r="R407" s="2">
        <v>45835.60659722222</v>
      </c>
      <c r="S407" s="1"/>
      <c r="T407" s="1" t="s">
        <v>87</v>
      </c>
      <c r="U407" s="1">
        <v>11295</v>
      </c>
      <c r="V407" s="1">
        <v>9322</v>
      </c>
      <c r="W407" s="1">
        <v>94</v>
      </c>
      <c r="X407" s="1">
        <v>318</v>
      </c>
      <c r="Y407" s="1">
        <v>12</v>
      </c>
    </row>
    <row r="408" spans="1:25" x14ac:dyDescent="0.25">
      <c r="A408" s="3">
        <v>397</v>
      </c>
      <c r="C408" s="7">
        <v>45836</v>
      </c>
      <c r="D408" s="3">
        <v>3553</v>
      </c>
      <c r="E408" s="1">
        <v>6570.5</v>
      </c>
      <c r="F408" s="3" t="s">
        <v>2</v>
      </c>
      <c r="G408" s="1">
        <v>480</v>
      </c>
      <c r="H408" s="2">
        <v>45836.03125</v>
      </c>
      <c r="I408" s="2">
        <v>45836.1875</v>
      </c>
      <c r="J408" s="1">
        <f t="shared" si="10"/>
        <v>3.75</v>
      </c>
      <c r="K408" s="1">
        <v>128</v>
      </c>
      <c r="L408" s="1">
        <v>40</v>
      </c>
      <c r="M408" s="1">
        <v>0.5</v>
      </c>
      <c r="N408" s="3" t="s">
        <v>5</v>
      </c>
      <c r="O408" s="3"/>
      <c r="P408" s="8"/>
      <c r="Q408" s="2">
        <v>45836.182395833333</v>
      </c>
      <c r="R408" s="2">
        <v>45836.338483796295</v>
      </c>
      <c r="S408" s="1"/>
      <c r="T408" s="1" t="s">
        <v>87</v>
      </c>
      <c r="U408" s="1">
        <v>12175</v>
      </c>
      <c r="V408" s="1">
        <v>9965</v>
      </c>
      <c r="W408" s="1">
        <v>101</v>
      </c>
      <c r="X408" s="1">
        <v>294</v>
      </c>
      <c r="Y408" s="1">
        <v>12</v>
      </c>
    </row>
    <row r="409" spans="1:25" x14ac:dyDescent="0.25">
      <c r="A409" s="3">
        <v>398</v>
      </c>
      <c r="C409" s="7">
        <v>45838</v>
      </c>
      <c r="D409" s="3">
        <v>3567</v>
      </c>
      <c r="E409" s="1">
        <v>6595.7</v>
      </c>
      <c r="F409" s="3" t="s">
        <v>2</v>
      </c>
      <c r="G409" s="1">
        <v>480</v>
      </c>
      <c r="H409" s="2">
        <v>45838.306250000001</v>
      </c>
      <c r="I409" s="2">
        <v>45838.449305555558</v>
      </c>
      <c r="J409" s="1">
        <f t="shared" si="10"/>
        <v>3.4333333333488554</v>
      </c>
      <c r="K409" s="1">
        <v>139.8058252420864</v>
      </c>
      <c r="L409" s="1">
        <v>40</v>
      </c>
      <c r="M409" s="1">
        <v>9</v>
      </c>
      <c r="N409" s="3" t="s">
        <v>5</v>
      </c>
      <c r="O409" s="3" t="s">
        <v>1</v>
      </c>
      <c r="P409" s="8"/>
      <c r="Q409" s="2">
        <v>45838.452893518515</v>
      </c>
      <c r="R409" s="2">
        <v>45838.652175925927</v>
      </c>
      <c r="S409" s="1"/>
      <c r="T409" s="1" t="s">
        <v>87</v>
      </c>
      <c r="U409" s="1">
        <v>10931</v>
      </c>
      <c r="V409" s="1">
        <v>8636.2000000000007</v>
      </c>
      <c r="W409" s="1">
        <v>86.8</v>
      </c>
      <c r="X409" s="1">
        <v>271.30000000000007</v>
      </c>
      <c r="Y409" s="1">
        <v>12</v>
      </c>
    </row>
    <row r="410" spans="1:25" x14ac:dyDescent="0.25">
      <c r="A410" s="3">
        <v>399</v>
      </c>
      <c r="C410" s="7">
        <v>45839</v>
      </c>
      <c r="D410" s="3">
        <v>3581</v>
      </c>
      <c r="E410" s="1">
        <v>6621.5</v>
      </c>
      <c r="F410" s="3" t="s">
        <v>2</v>
      </c>
      <c r="G410" s="1">
        <v>480</v>
      </c>
      <c r="H410" s="2">
        <v>45839.105555555558</v>
      </c>
      <c r="I410" s="2">
        <v>45839.229166666664</v>
      </c>
      <c r="J410" s="1">
        <f t="shared" si="10"/>
        <v>2.9666666665580124</v>
      </c>
      <c r="K410" s="1">
        <v>161.79775281491462</v>
      </c>
      <c r="L410" s="1">
        <v>40</v>
      </c>
      <c r="M410" s="1">
        <v>14</v>
      </c>
      <c r="N410" s="3" t="s">
        <v>3</v>
      </c>
      <c r="O410" s="3" t="s">
        <v>1</v>
      </c>
      <c r="P410" s="8" t="s">
        <v>7</v>
      </c>
      <c r="Q410" s="2">
        <v>45839.244062500002</v>
      </c>
      <c r="R410" s="2">
        <v>45839.603275462963</v>
      </c>
      <c r="S410" s="1"/>
      <c r="T410" s="1" t="s">
        <v>87</v>
      </c>
      <c r="U410" s="1">
        <v>29386</v>
      </c>
      <c r="V410" s="1">
        <v>23370.400000000001</v>
      </c>
      <c r="W410" s="1">
        <v>234.6</v>
      </c>
      <c r="X410" s="1">
        <v>690.4</v>
      </c>
      <c r="Y410" s="1">
        <v>12</v>
      </c>
    </row>
    <row r="411" spans="1:25" x14ac:dyDescent="0.25">
      <c r="A411" s="3">
        <v>400</v>
      </c>
      <c r="C411" s="7">
        <v>45840</v>
      </c>
      <c r="D411" s="3">
        <v>3592</v>
      </c>
      <c r="E411" s="1">
        <v>6640.7</v>
      </c>
      <c r="F411" s="3" t="s">
        <v>2</v>
      </c>
      <c r="G411" s="1">
        <v>391.2</v>
      </c>
      <c r="H411" s="2">
        <v>45840.318055555559</v>
      </c>
      <c r="I411" s="2">
        <v>45840.438194444447</v>
      </c>
      <c r="J411" s="1">
        <f t="shared" si="10"/>
        <v>2.8833333333022892</v>
      </c>
      <c r="K411" s="1">
        <v>135.67630057949546</v>
      </c>
      <c r="L411" s="1">
        <v>32.6</v>
      </c>
      <c r="M411" s="1">
        <v>1</v>
      </c>
      <c r="N411" s="3" t="s">
        <v>5</v>
      </c>
      <c r="O411" s="3" t="s">
        <v>1</v>
      </c>
      <c r="P411" s="8"/>
      <c r="Q411" s="2">
        <v>45840.441238425927</v>
      </c>
      <c r="R411" s="2">
        <v>45840.753993055558</v>
      </c>
      <c r="S411" s="1"/>
      <c r="T411" s="1" t="s">
        <v>87</v>
      </c>
      <c r="U411" s="1">
        <v>22909</v>
      </c>
      <c r="V411" s="1">
        <v>17858.499999999996</v>
      </c>
      <c r="W411" s="1">
        <v>183.7</v>
      </c>
      <c r="X411" s="1">
        <v>520.20000000000005</v>
      </c>
      <c r="Y411" s="1">
        <v>12</v>
      </c>
    </row>
    <row r="412" spans="1:25" x14ac:dyDescent="0.25">
      <c r="A412" s="3">
        <v>401</v>
      </c>
      <c r="C412" s="7">
        <v>45841</v>
      </c>
      <c r="D412" s="3">
        <v>3602</v>
      </c>
      <c r="E412" s="1">
        <v>6659</v>
      </c>
      <c r="F412" s="3" t="s">
        <v>2</v>
      </c>
      <c r="G412" s="1">
        <v>440.8</v>
      </c>
      <c r="H412" s="2">
        <v>45841.540277777778</v>
      </c>
      <c r="I412" s="2">
        <v>45841.693749999999</v>
      </c>
      <c r="J412" s="1">
        <f t="shared" si="10"/>
        <v>3.6833333332906477</v>
      </c>
      <c r="K412" s="1">
        <v>119.67420814618328</v>
      </c>
      <c r="L412" s="1">
        <v>36</v>
      </c>
      <c r="M412" s="1">
        <v>7.5</v>
      </c>
      <c r="N412" s="3" t="s">
        <v>5</v>
      </c>
      <c r="O412" s="3" t="s">
        <v>1</v>
      </c>
      <c r="P412" s="8"/>
      <c r="Q412" s="2">
        <v>45841.691574074073</v>
      </c>
      <c r="R412" s="2">
        <v>45842.014525462961</v>
      </c>
      <c r="S412" s="1"/>
      <c r="T412" s="1" t="s">
        <v>87</v>
      </c>
      <c r="U412" s="1">
        <v>21648</v>
      </c>
      <c r="V412" s="1">
        <v>17024.7</v>
      </c>
      <c r="W412" s="1">
        <v>181.8</v>
      </c>
      <c r="X412" s="1">
        <v>535.59999999999991</v>
      </c>
      <c r="Y412" s="1">
        <v>12</v>
      </c>
    </row>
    <row r="413" spans="1:25" x14ac:dyDescent="0.25">
      <c r="A413" s="3">
        <v>402</v>
      </c>
      <c r="C413" s="7">
        <v>45842</v>
      </c>
      <c r="D413" s="3">
        <v>3613</v>
      </c>
      <c r="E413" s="1">
        <v>6678</v>
      </c>
      <c r="F413" s="3" t="s">
        <v>2</v>
      </c>
      <c r="G413" s="1">
        <v>391.2</v>
      </c>
      <c r="H413" s="2">
        <v>45842.392361111109</v>
      </c>
      <c r="I413" s="2">
        <v>45842.498611111114</v>
      </c>
      <c r="J413" s="1">
        <f t="shared" si="10"/>
        <v>2.5500000001047738</v>
      </c>
      <c r="K413" s="1">
        <v>153.41176469957901</v>
      </c>
      <c r="L413" s="1">
        <v>32.6</v>
      </c>
      <c r="M413" s="1">
        <v>4</v>
      </c>
      <c r="N413" s="3" t="s">
        <v>5</v>
      </c>
      <c r="O413" s="3" t="s">
        <v>1</v>
      </c>
      <c r="P413" s="8"/>
      <c r="Q413" s="2">
        <v>45842.501689814817</v>
      </c>
      <c r="R413" s="2">
        <v>45842.695185185185</v>
      </c>
      <c r="S413" s="1"/>
      <c r="T413" s="1" t="s">
        <v>87</v>
      </c>
      <c r="U413" s="1">
        <v>14160</v>
      </c>
      <c r="V413" s="1">
        <v>10555.700000000003</v>
      </c>
      <c r="W413" s="1">
        <v>106.29999999999998</v>
      </c>
      <c r="X413" s="1">
        <v>312.49999999999989</v>
      </c>
      <c r="Y413" s="1">
        <v>12</v>
      </c>
    </row>
    <row r="414" spans="1:25" x14ac:dyDescent="0.25">
      <c r="A414" s="3">
        <v>403</v>
      </c>
      <c r="C414" s="7">
        <v>45842</v>
      </c>
      <c r="D414" s="3">
        <v>3621</v>
      </c>
      <c r="E414" s="1">
        <v>6692</v>
      </c>
      <c r="F414" s="3" t="s">
        <v>2</v>
      </c>
      <c r="G414" s="1">
        <v>391.2</v>
      </c>
      <c r="H414" s="2">
        <v>45842.951388888891</v>
      </c>
      <c r="I414" s="2">
        <v>45843.0625</v>
      </c>
      <c r="J414" s="1">
        <f t="shared" si="10"/>
        <v>2.6666666666278616</v>
      </c>
      <c r="K414" s="1">
        <v>146.70000000213477</v>
      </c>
      <c r="L414" s="1">
        <v>32.6</v>
      </c>
      <c r="M414" s="1">
        <v>5</v>
      </c>
      <c r="N414" s="3" t="s">
        <v>5</v>
      </c>
      <c r="O414" s="3" t="s">
        <v>1</v>
      </c>
      <c r="P414" s="8"/>
      <c r="Q414" s="2">
        <v>45843.089282407411</v>
      </c>
      <c r="R414" s="2">
        <v>45843.337962962964</v>
      </c>
      <c r="S414" s="1"/>
      <c r="T414" s="1" t="s">
        <v>87</v>
      </c>
      <c r="U414" s="1">
        <v>20313</v>
      </c>
      <c r="V414" s="1">
        <v>15745.500000000002</v>
      </c>
      <c r="W414" s="1">
        <v>165.2</v>
      </c>
      <c r="X414" s="1">
        <v>483.60000000000014</v>
      </c>
      <c r="Y414" s="1">
        <v>12</v>
      </c>
    </row>
    <row r="415" spans="1:25" x14ac:dyDescent="0.25">
      <c r="A415" s="3">
        <v>404</v>
      </c>
      <c r="C415" s="7">
        <v>45843</v>
      </c>
      <c r="D415" s="3">
        <v>3631</v>
      </c>
      <c r="E415" s="1">
        <v>6710.91</v>
      </c>
      <c r="F415" s="3" t="s">
        <v>2</v>
      </c>
      <c r="G415" s="1">
        <v>391.2</v>
      </c>
      <c r="H415" s="2">
        <v>45843.815972222219</v>
      </c>
      <c r="I415" s="2">
        <v>45843.918055555558</v>
      </c>
      <c r="J415" s="1">
        <f t="shared" si="10"/>
        <v>2.4500000001280569</v>
      </c>
      <c r="K415" s="1">
        <v>159.67346937940925</v>
      </c>
      <c r="L415" s="1">
        <v>32.6</v>
      </c>
      <c r="M415" s="1">
        <v>7</v>
      </c>
      <c r="N415" s="3" t="s">
        <v>5</v>
      </c>
      <c r="O415" s="3" t="s">
        <v>1</v>
      </c>
      <c r="P415" s="8"/>
      <c r="Q415" s="2">
        <v>45843.929525462961</v>
      </c>
      <c r="R415" s="2">
        <v>45844.00577546296</v>
      </c>
      <c r="S415" s="1"/>
      <c r="T415" s="1" t="s">
        <v>87</v>
      </c>
      <c r="U415" s="1">
        <v>4962</v>
      </c>
      <c r="V415" s="1">
        <v>3874.6</v>
      </c>
      <c r="W415" s="1">
        <v>39.299999999999983</v>
      </c>
      <c r="X415" s="1">
        <v>114.70000000000002</v>
      </c>
      <c r="Y415" s="1">
        <v>12</v>
      </c>
    </row>
    <row r="416" spans="1:25" x14ac:dyDescent="0.25">
      <c r="A416" s="3">
        <v>405</v>
      </c>
      <c r="C416" s="7">
        <v>45845</v>
      </c>
      <c r="D416" s="3">
        <v>3641</v>
      </c>
      <c r="E416" s="1">
        <v>6728.87</v>
      </c>
      <c r="F416" s="3" t="s">
        <v>2</v>
      </c>
      <c r="G416" s="1">
        <v>391.2</v>
      </c>
      <c r="H416" s="2">
        <v>45845.729861111111</v>
      </c>
      <c r="I416" s="2">
        <v>45845.843055555553</v>
      </c>
      <c r="J416" s="1">
        <f t="shared" si="10"/>
        <v>2.71666666661622</v>
      </c>
      <c r="K416" s="1">
        <v>144.00000000267397</v>
      </c>
      <c r="L416" s="1">
        <v>32.6</v>
      </c>
      <c r="M416" s="1">
        <v>1.5</v>
      </c>
      <c r="N416" s="3" t="s">
        <v>3</v>
      </c>
      <c r="O416" s="3" t="s">
        <v>1</v>
      </c>
      <c r="P416" s="8" t="s">
        <v>7</v>
      </c>
      <c r="Q416" s="2">
        <v>45845.828761574077</v>
      </c>
      <c r="R416" s="2">
        <v>45845.922280092593</v>
      </c>
      <c r="S416" s="1"/>
      <c r="T416" s="1" t="s">
        <v>87</v>
      </c>
      <c r="U416" s="1">
        <v>5439</v>
      </c>
      <c r="V416" s="1">
        <v>4184.7</v>
      </c>
      <c r="W416" s="1">
        <v>42.399999999999991</v>
      </c>
      <c r="X416" s="1">
        <v>124.09999999999998</v>
      </c>
      <c r="Y416" s="1">
        <v>12</v>
      </c>
    </row>
    <row r="417" spans="1:25" x14ac:dyDescent="0.25">
      <c r="A417" s="3">
        <v>406</v>
      </c>
      <c r="C417" s="7">
        <v>45846</v>
      </c>
      <c r="D417" s="3">
        <v>3651</v>
      </c>
      <c r="E417" s="1">
        <v>6746.9</v>
      </c>
      <c r="F417" s="3" t="s">
        <v>2</v>
      </c>
      <c r="G417" s="1">
        <v>391.2</v>
      </c>
      <c r="H417" s="2">
        <v>45846.34652777778</v>
      </c>
      <c r="I417" s="2">
        <v>45846.448611111111</v>
      </c>
      <c r="J417" s="1">
        <f t="shared" si="10"/>
        <v>2.4499999999534339</v>
      </c>
      <c r="K417" s="1">
        <v>159.67346939078993</v>
      </c>
      <c r="L417" s="1">
        <v>32.6</v>
      </c>
      <c r="M417" s="1">
        <v>0</v>
      </c>
      <c r="N417" s="3" t="s">
        <v>5</v>
      </c>
      <c r="O417" s="3" t="s">
        <v>1</v>
      </c>
      <c r="P417" s="8"/>
      <c r="Q417" s="2">
        <v>45846.45</v>
      </c>
      <c r="R417" s="2">
        <v>45846.643055555556</v>
      </c>
      <c r="S417" s="1"/>
      <c r="T417" s="1" t="s">
        <v>87</v>
      </c>
      <c r="U417" s="1">
        <v>10127</v>
      </c>
      <c r="V417" s="1">
        <v>7490</v>
      </c>
      <c r="W417" s="1">
        <v>81</v>
      </c>
      <c r="X417" s="1">
        <v>239</v>
      </c>
      <c r="Y417" s="1">
        <v>12</v>
      </c>
    </row>
    <row r="418" spans="1:25" x14ac:dyDescent="0.25">
      <c r="A418" s="3">
        <v>407</v>
      </c>
      <c r="C418" s="7">
        <v>45846</v>
      </c>
      <c r="D418" s="3">
        <v>3661</v>
      </c>
      <c r="E418" s="3">
        <v>6764.9</v>
      </c>
      <c r="F418" s="3" t="s">
        <v>2</v>
      </c>
      <c r="G418" s="1">
        <v>383.6</v>
      </c>
      <c r="H418" s="2">
        <v>45846.923807870371</v>
      </c>
      <c r="I418" s="2">
        <v>45847.035069444442</v>
      </c>
      <c r="J418" s="1">
        <f t="shared" si="10"/>
        <v>2.6702777777099982</v>
      </c>
      <c r="K418" s="1">
        <v>143.65546655935222</v>
      </c>
      <c r="L418" s="1">
        <v>32.6</v>
      </c>
      <c r="M418" s="1">
        <v>7</v>
      </c>
      <c r="N418" s="3" t="s">
        <v>3</v>
      </c>
      <c r="O418" s="3" t="s">
        <v>1</v>
      </c>
      <c r="P418" s="8" t="s">
        <v>24</v>
      </c>
      <c r="Q418" s="2">
        <v>45847.041516203702</v>
      </c>
      <c r="R418" s="2">
        <v>45847.18787037037</v>
      </c>
      <c r="S418" s="1"/>
      <c r="T418" s="1" t="s">
        <v>87</v>
      </c>
      <c r="U418" s="1">
        <v>11331</v>
      </c>
      <c r="V418" s="1">
        <v>8649.2999999999993</v>
      </c>
      <c r="W418" s="1">
        <v>89.2</v>
      </c>
      <c r="X418" s="1">
        <v>262</v>
      </c>
      <c r="Y418" s="1">
        <v>12</v>
      </c>
    </row>
    <row r="419" spans="1:25" x14ac:dyDescent="0.25">
      <c r="A419" s="3">
        <v>408</v>
      </c>
      <c r="C419" s="7">
        <v>45847</v>
      </c>
      <c r="D419" s="3">
        <v>3671</v>
      </c>
      <c r="E419" s="1">
        <v>6783</v>
      </c>
      <c r="F419" s="3" t="s">
        <v>2</v>
      </c>
      <c r="G419" s="1">
        <v>391.2</v>
      </c>
      <c r="H419" s="2">
        <v>45847.519282407404</v>
      </c>
      <c r="I419" s="2">
        <v>45847.641261574077</v>
      </c>
      <c r="J419" s="1">
        <f t="shared" si="10"/>
        <v>2.9275000001653098</v>
      </c>
      <c r="K419" s="1">
        <v>133.62937659364979</v>
      </c>
      <c r="L419" s="1">
        <v>32.6</v>
      </c>
      <c r="M419" s="1">
        <v>25</v>
      </c>
      <c r="N419" s="3" t="s">
        <v>5</v>
      </c>
      <c r="O419" s="3" t="s">
        <v>1</v>
      </c>
      <c r="P419" s="8"/>
      <c r="Q419" s="2">
        <v>45847.641331018516</v>
      </c>
      <c r="R419" s="2">
        <v>45847.949942129628</v>
      </c>
      <c r="S419" s="1"/>
      <c r="T419" s="1" t="s">
        <v>87</v>
      </c>
      <c r="U419" s="1">
        <v>17385</v>
      </c>
      <c r="V419" s="1">
        <v>13823.600000000002</v>
      </c>
      <c r="W419" s="1">
        <v>143.6</v>
      </c>
      <c r="X419" s="1">
        <v>423.8</v>
      </c>
      <c r="Y419" s="1">
        <v>12</v>
      </c>
    </row>
    <row r="420" spans="1:25" x14ac:dyDescent="0.25">
      <c r="A420" s="3">
        <v>409</v>
      </c>
      <c r="C420" s="7">
        <v>45848</v>
      </c>
      <c r="D420" s="3">
        <v>3681</v>
      </c>
      <c r="E420" s="1">
        <v>6801</v>
      </c>
      <c r="F420" s="3" t="s">
        <v>2</v>
      </c>
      <c r="G420" s="1">
        <v>391.2</v>
      </c>
      <c r="H420" s="2">
        <v>45848.366168981483</v>
      </c>
      <c r="I420" s="2">
        <v>45848.459444444445</v>
      </c>
      <c r="J420" s="1">
        <f t="shared" si="10"/>
        <v>2.2386111110681668</v>
      </c>
      <c r="K420" s="1">
        <v>174.75120983087436</v>
      </c>
      <c r="L420" s="1">
        <v>32.6</v>
      </c>
      <c r="M420" s="1">
        <v>1</v>
      </c>
      <c r="N420" s="3" t="s">
        <v>5</v>
      </c>
      <c r="O420" s="3" t="s">
        <v>1</v>
      </c>
      <c r="P420" s="8"/>
      <c r="Q420" s="2">
        <v>45848.461678240739</v>
      </c>
      <c r="R420" s="2">
        <v>45848.69672453704</v>
      </c>
      <c r="S420" s="1"/>
      <c r="T420" s="1" t="s">
        <v>87</v>
      </c>
      <c r="U420" s="1">
        <v>21375</v>
      </c>
      <c r="V420" s="1">
        <v>16233.500000000002</v>
      </c>
      <c r="W420" s="1">
        <v>166.5</v>
      </c>
      <c r="X420" s="1">
        <v>476.70000000000005</v>
      </c>
      <c r="Y420" s="1">
        <v>12</v>
      </c>
    </row>
    <row r="421" spans="1:25" x14ac:dyDescent="0.25">
      <c r="A421" s="3">
        <v>410</v>
      </c>
      <c r="C421" s="7">
        <v>45849</v>
      </c>
      <c r="D421" s="3">
        <v>3691</v>
      </c>
      <c r="E421" s="1">
        <v>6819</v>
      </c>
      <c r="F421" s="3" t="s">
        <v>2</v>
      </c>
      <c r="G421" s="1">
        <v>388.12</v>
      </c>
      <c r="H421" s="2">
        <v>45849.011331018497</v>
      </c>
      <c r="I421" s="2">
        <v>45849.165787037004</v>
      </c>
      <c r="J421" s="1">
        <f t="shared" si="10"/>
        <v>3.7069444441585802</v>
      </c>
      <c r="K421" s="1">
        <v>104.700786819614</v>
      </c>
      <c r="L421" s="1">
        <v>32.6</v>
      </c>
      <c r="M421" s="1">
        <v>14</v>
      </c>
      <c r="N421" s="3" t="s">
        <v>5</v>
      </c>
      <c r="O421" s="3" t="s">
        <v>1</v>
      </c>
      <c r="P421" s="8" t="s">
        <v>44</v>
      </c>
      <c r="Q421" s="2">
        <v>45849.199756944443</v>
      </c>
      <c r="R421" s="2">
        <v>45849.543611111112</v>
      </c>
      <c r="S421" s="1"/>
      <c r="T421" s="1" t="s">
        <v>87</v>
      </c>
      <c r="U421" s="1">
        <v>23830</v>
      </c>
      <c r="V421" s="1">
        <v>18786.699999999997</v>
      </c>
      <c r="W421" s="1">
        <v>200.50000000000003</v>
      </c>
      <c r="X421" s="1">
        <v>589.69999999999982</v>
      </c>
      <c r="Y421" s="1">
        <v>12</v>
      </c>
    </row>
    <row r="422" spans="1:25" x14ac:dyDescent="0.25">
      <c r="A422" s="3">
        <v>411</v>
      </c>
      <c r="C422" s="7">
        <v>45850</v>
      </c>
      <c r="D422" s="3">
        <v>3699</v>
      </c>
      <c r="E422" s="1">
        <v>6833</v>
      </c>
      <c r="F422" s="3" t="s">
        <v>2</v>
      </c>
      <c r="G422" s="1">
        <v>391.2</v>
      </c>
      <c r="H422" s="2">
        <v>45850.274305555555</v>
      </c>
      <c r="I422" s="2">
        <v>45850.412499999999</v>
      </c>
      <c r="J422" s="1">
        <f t="shared" si="10"/>
        <v>3.3166666666511446</v>
      </c>
      <c r="K422" s="1">
        <v>117.94974874427059</v>
      </c>
      <c r="L422" s="1">
        <v>32.6</v>
      </c>
      <c r="M422" s="1">
        <v>3</v>
      </c>
      <c r="N422" s="3" t="s">
        <v>5</v>
      </c>
      <c r="O422" s="3" t="s">
        <v>1</v>
      </c>
      <c r="P422" s="8"/>
      <c r="Q422" s="2">
        <v>45850.414895833332</v>
      </c>
      <c r="R422" s="2">
        <v>45850.721504629626</v>
      </c>
      <c r="S422" s="1"/>
      <c r="T422" s="1" t="s">
        <v>87</v>
      </c>
      <c r="U422" s="1">
        <v>17444</v>
      </c>
      <c r="V422" s="1">
        <v>14117.3</v>
      </c>
      <c r="W422" s="1">
        <v>142.49999999999997</v>
      </c>
      <c r="X422" s="1">
        <v>418.89999999999986</v>
      </c>
      <c r="Y422" s="1">
        <v>12</v>
      </c>
    </row>
    <row r="423" spans="1:25" x14ac:dyDescent="0.25">
      <c r="A423" s="3">
        <v>412</v>
      </c>
      <c r="C423" s="7">
        <v>45852</v>
      </c>
      <c r="D423" s="3">
        <v>3709</v>
      </c>
      <c r="E423" s="1">
        <v>6851.36</v>
      </c>
      <c r="F423" s="3" t="s">
        <v>2</v>
      </c>
      <c r="G423" s="1">
        <v>391.2</v>
      </c>
      <c r="H423" s="2">
        <v>45852.321527777778</v>
      </c>
      <c r="I423" s="2">
        <v>45852.445833333331</v>
      </c>
      <c r="J423" s="1">
        <f t="shared" si="10"/>
        <v>2.9833333332790062</v>
      </c>
      <c r="K423" s="1">
        <v>131.12849162249961</v>
      </c>
      <c r="L423" s="1">
        <v>32.6</v>
      </c>
      <c r="M423" s="1">
        <v>23</v>
      </c>
      <c r="N423" s="3" t="s">
        <v>5</v>
      </c>
      <c r="O423" s="3" t="s">
        <v>1</v>
      </c>
      <c r="P423" s="8"/>
      <c r="Q423" s="2">
        <v>45852.46802083333</v>
      </c>
      <c r="R423" s="2">
        <v>45852.675497685188</v>
      </c>
      <c r="S423" s="1"/>
      <c r="T423" s="1" t="s">
        <v>87</v>
      </c>
      <c r="U423" s="1">
        <v>12760</v>
      </c>
      <c r="V423" s="1">
        <v>10180</v>
      </c>
      <c r="W423" s="1">
        <v>106</v>
      </c>
      <c r="X423" s="1">
        <v>313</v>
      </c>
      <c r="Y423" s="1">
        <v>12</v>
      </c>
    </row>
    <row r="424" spans="1:25" x14ac:dyDescent="0.25">
      <c r="A424" s="3">
        <v>413</v>
      </c>
      <c r="C424" s="7">
        <v>45852</v>
      </c>
      <c r="D424" s="3">
        <v>3719</v>
      </c>
      <c r="E424" s="1">
        <v>6869.38</v>
      </c>
      <c r="F424" s="3" t="s">
        <v>2</v>
      </c>
      <c r="G424" s="1">
        <v>377.4</v>
      </c>
      <c r="H424" s="2">
        <v>45852.989583333336</v>
      </c>
      <c r="I424" s="2">
        <v>45853.112500000003</v>
      </c>
      <c r="J424" s="1">
        <f t="shared" si="10"/>
        <v>2.9500000000116415</v>
      </c>
      <c r="K424" s="1">
        <v>127.93220338932565</v>
      </c>
      <c r="L424" s="1">
        <v>32.6</v>
      </c>
      <c r="M424" s="1">
        <v>1</v>
      </c>
      <c r="N424" s="3" t="s">
        <v>5</v>
      </c>
      <c r="O424" s="3" t="s">
        <v>1</v>
      </c>
      <c r="P424" s="8" t="s">
        <v>45</v>
      </c>
      <c r="Q424" s="2">
        <v>45853.113796296297</v>
      </c>
      <c r="R424" s="2">
        <v>45853.245185185187</v>
      </c>
      <c r="S424" s="1"/>
      <c r="T424" s="1" t="s">
        <v>87</v>
      </c>
      <c r="U424" s="1">
        <v>10129</v>
      </c>
      <c r="V424" s="1">
        <v>7479.4</v>
      </c>
      <c r="W424" s="1">
        <v>75.09999999999998</v>
      </c>
      <c r="X424" s="1">
        <v>221.1</v>
      </c>
      <c r="Y424" s="1">
        <v>12</v>
      </c>
    </row>
    <row r="425" spans="1:25" x14ac:dyDescent="0.25">
      <c r="A425" s="3">
        <v>414</v>
      </c>
      <c r="C425" s="7">
        <v>45853</v>
      </c>
      <c r="D425" s="3">
        <v>3729</v>
      </c>
      <c r="E425" s="1">
        <v>6887.4</v>
      </c>
      <c r="F425" s="3" t="s">
        <v>2</v>
      </c>
      <c r="G425" s="1">
        <v>391.1</v>
      </c>
      <c r="H425" s="2">
        <v>45853.541666666664</v>
      </c>
      <c r="I425" s="2">
        <v>45853.668749999997</v>
      </c>
      <c r="J425" s="1">
        <f t="shared" si="10"/>
        <v>3.0499999999883585</v>
      </c>
      <c r="K425" s="1">
        <v>128.22950819721075</v>
      </c>
      <c r="L425" s="1">
        <v>32.6</v>
      </c>
      <c r="M425" s="1">
        <v>13</v>
      </c>
      <c r="N425" s="3" t="s">
        <v>3</v>
      </c>
      <c r="O425" s="3">
        <v>1</v>
      </c>
      <c r="P425" s="8" t="s">
        <v>24</v>
      </c>
      <c r="Q425" s="2">
        <v>45853.692453703705</v>
      </c>
      <c r="R425" s="2">
        <v>45854.004293981481</v>
      </c>
      <c r="S425" s="1"/>
      <c r="T425" s="1" t="s">
        <v>87</v>
      </c>
      <c r="U425" s="1">
        <v>28054</v>
      </c>
      <c r="V425" s="1">
        <v>21255.899999999998</v>
      </c>
      <c r="W425" s="1">
        <v>243.8</v>
      </c>
      <c r="X425" s="1">
        <v>723.79999999999973</v>
      </c>
      <c r="Y425" s="1">
        <v>12</v>
      </c>
    </row>
    <row r="426" spans="1:25" x14ac:dyDescent="0.25">
      <c r="A426" s="3">
        <v>415</v>
      </c>
      <c r="C426" s="7">
        <v>45854</v>
      </c>
      <c r="D426" s="3">
        <v>3739</v>
      </c>
      <c r="E426" s="1">
        <v>6905.4</v>
      </c>
      <c r="F426" s="3" t="s">
        <v>2</v>
      </c>
      <c r="G426" s="1">
        <v>370.6</v>
      </c>
      <c r="H426" s="2">
        <v>45854.395138888889</v>
      </c>
      <c r="I426" s="2">
        <v>45854.501388888886</v>
      </c>
      <c r="J426" s="1">
        <f t="shared" si="10"/>
        <v>2.5499999999301508</v>
      </c>
      <c r="K426" s="1">
        <v>145.33333333731429</v>
      </c>
      <c r="L426" s="1">
        <v>32.6</v>
      </c>
      <c r="M426" s="1">
        <v>10</v>
      </c>
      <c r="N426" s="3" t="s">
        <v>3</v>
      </c>
      <c r="O426" s="3">
        <v>1</v>
      </c>
      <c r="P426" s="8" t="s">
        <v>24</v>
      </c>
      <c r="Q426" s="2">
        <v>45854.522499999999</v>
      </c>
      <c r="R426" s="2">
        <v>45854.643657407411</v>
      </c>
      <c r="S426" s="1"/>
      <c r="T426" s="1" t="s">
        <v>87</v>
      </c>
      <c r="U426" s="1">
        <v>8954</v>
      </c>
      <c r="V426" s="1">
        <v>7345.7</v>
      </c>
      <c r="W426" s="1">
        <v>73.599999999999994</v>
      </c>
      <c r="X426" s="1">
        <v>217.10000000000002</v>
      </c>
      <c r="Y426" s="1">
        <v>12</v>
      </c>
    </row>
    <row r="427" spans="1:25" x14ac:dyDescent="0.25">
      <c r="A427" s="3">
        <v>416.1</v>
      </c>
      <c r="B427" s="3">
        <v>1</v>
      </c>
      <c r="C427" s="7">
        <v>45855</v>
      </c>
      <c r="D427" s="3">
        <v>3749</v>
      </c>
      <c r="E427" s="1">
        <v>6923.4</v>
      </c>
      <c r="F427" s="3" t="s">
        <v>2</v>
      </c>
      <c r="G427" s="1">
        <f>586.2-32.6*6</f>
        <v>390.6</v>
      </c>
      <c r="H427" s="2">
        <v>45854.961805555555</v>
      </c>
      <c r="I427" s="2">
        <v>45855.080555555556</v>
      </c>
      <c r="J427" s="1">
        <f t="shared" si="10"/>
        <v>2.8500000000349246</v>
      </c>
      <c r="K427" s="1">
        <v>137.0526315772679</v>
      </c>
      <c r="L427" s="1">
        <v>32.6</v>
      </c>
      <c r="M427" s="1">
        <v>20</v>
      </c>
      <c r="N427" s="3" t="s">
        <v>3</v>
      </c>
      <c r="O427" s="3">
        <v>1</v>
      </c>
      <c r="P427" s="8" t="s">
        <v>46</v>
      </c>
      <c r="Q427" s="2">
        <v>45855.082361111112</v>
      </c>
      <c r="R427" s="2">
        <v>45855.162499999999</v>
      </c>
      <c r="S427" s="1"/>
      <c r="T427" s="1" t="s">
        <v>87</v>
      </c>
      <c r="U427" s="1">
        <v>36987</v>
      </c>
      <c r="V427" s="1">
        <v>25720</v>
      </c>
      <c r="W427" s="1">
        <v>269</v>
      </c>
      <c r="X427" s="1">
        <v>828</v>
      </c>
      <c r="Y427" s="1">
        <v>18</v>
      </c>
    </row>
    <row r="428" spans="1:25" x14ac:dyDescent="0.25">
      <c r="A428" s="3">
        <v>416.2</v>
      </c>
      <c r="B428" s="3">
        <v>2</v>
      </c>
      <c r="C428" s="7">
        <v>45855</v>
      </c>
      <c r="D428" s="3">
        <v>3749</v>
      </c>
      <c r="E428" s="1">
        <v>6923.4</v>
      </c>
      <c r="F428" s="3" t="s">
        <v>2</v>
      </c>
      <c r="G428" s="1">
        <f>6*32.6</f>
        <v>195.60000000000002</v>
      </c>
      <c r="H428" s="2">
        <v>45855.361805555556</v>
      </c>
      <c r="I428" s="2">
        <v>45855.409722222219</v>
      </c>
      <c r="J428" s="1">
        <f t="shared" si="10"/>
        <v>1.1499999999068677</v>
      </c>
      <c r="K428" s="1">
        <v>170.08695653551356</v>
      </c>
      <c r="L428" s="1">
        <v>32.6</v>
      </c>
      <c r="M428" s="1">
        <v>6</v>
      </c>
      <c r="N428" s="3" t="s">
        <v>3</v>
      </c>
      <c r="O428" s="3"/>
      <c r="P428" s="14" t="s">
        <v>47</v>
      </c>
      <c r="Q428" s="2">
        <v>45855.431944444441</v>
      </c>
      <c r="R428" s="2">
        <v>45855.87840277778</v>
      </c>
      <c r="S428" s="1"/>
      <c r="T428" s="1" t="s">
        <v>87</v>
      </c>
      <c r="U428" s="1"/>
      <c r="V428" s="1"/>
      <c r="W428" s="1"/>
      <c r="X428" s="1"/>
      <c r="Y428" s="1"/>
    </row>
    <row r="429" spans="1:25" x14ac:dyDescent="0.25">
      <c r="A429" s="3">
        <v>417</v>
      </c>
      <c r="C429" s="7">
        <v>45856</v>
      </c>
      <c r="D429" s="3">
        <v>3759</v>
      </c>
      <c r="E429" s="1">
        <v>6941.4</v>
      </c>
      <c r="F429" s="3" t="s">
        <v>2</v>
      </c>
      <c r="G429" s="1">
        <v>391.2</v>
      </c>
      <c r="H429" s="2">
        <v>45856.30972222222</v>
      </c>
      <c r="I429" s="2">
        <v>45856.418749999997</v>
      </c>
      <c r="J429" s="1">
        <f t="shared" si="10"/>
        <v>2.6166666666395031</v>
      </c>
      <c r="K429" s="1">
        <v>149.50318471492778</v>
      </c>
      <c r="L429" s="1">
        <v>32.6</v>
      </c>
      <c r="M429" s="1">
        <v>0</v>
      </c>
      <c r="N429" s="3" t="s">
        <v>5</v>
      </c>
      <c r="O429" s="3" t="s">
        <v>1</v>
      </c>
      <c r="P429" s="8"/>
      <c r="Q429" s="2">
        <v>45856.443969907406</v>
      </c>
      <c r="R429" s="2">
        <v>45856.613518518519</v>
      </c>
      <c r="S429" s="1"/>
      <c r="T429" s="1" t="s">
        <v>87</v>
      </c>
      <c r="U429" s="1">
        <v>12401</v>
      </c>
      <c r="V429" s="1">
        <v>9178</v>
      </c>
      <c r="W429" s="1">
        <v>97</v>
      </c>
      <c r="X429" s="1">
        <v>282</v>
      </c>
      <c r="Y429" s="1">
        <v>12</v>
      </c>
    </row>
    <row r="430" spans="1:25" x14ac:dyDescent="0.25">
      <c r="A430" s="3">
        <v>418</v>
      </c>
      <c r="C430" s="7">
        <v>45856</v>
      </c>
      <c r="D430" s="3">
        <v>3769</v>
      </c>
      <c r="E430" s="1">
        <v>6959.4</v>
      </c>
      <c r="F430" s="3" t="s">
        <v>2</v>
      </c>
      <c r="G430" s="1">
        <v>391.2</v>
      </c>
      <c r="H430" s="2">
        <v>45856.911805555559</v>
      </c>
      <c r="I430" s="2">
        <v>45857.018750000003</v>
      </c>
      <c r="J430" s="1">
        <f t="shared" si="10"/>
        <v>2.5666666666511446</v>
      </c>
      <c r="K430" s="1">
        <v>152.41558441650616</v>
      </c>
      <c r="L430" s="1">
        <v>32.6</v>
      </c>
      <c r="M430" s="1">
        <v>5</v>
      </c>
      <c r="N430" s="3" t="s">
        <v>5</v>
      </c>
      <c r="O430" s="3" t="s">
        <v>1</v>
      </c>
      <c r="P430" s="8"/>
      <c r="Q430" s="2">
        <v>45857.018946759257</v>
      </c>
      <c r="R430" s="2">
        <v>45857.202210648145</v>
      </c>
      <c r="S430" s="1"/>
      <c r="T430" s="1" t="s">
        <v>87</v>
      </c>
      <c r="U430" s="1">
        <v>18970</v>
      </c>
      <c r="V430" s="1">
        <v>14275</v>
      </c>
      <c r="W430" s="1">
        <v>147</v>
      </c>
      <c r="X430" s="1">
        <v>432</v>
      </c>
      <c r="Y430" s="1">
        <v>12</v>
      </c>
    </row>
    <row r="431" spans="1:25" x14ac:dyDescent="0.25">
      <c r="A431" s="3">
        <v>419</v>
      </c>
      <c r="C431" s="7">
        <v>45857</v>
      </c>
      <c r="D431" s="3">
        <v>3777</v>
      </c>
      <c r="E431" s="1">
        <v>6973.8</v>
      </c>
      <c r="F431" s="3" t="s">
        <v>2</v>
      </c>
      <c r="G431" s="1">
        <v>391.2</v>
      </c>
      <c r="H431" s="2">
        <v>45857.604166666664</v>
      </c>
      <c r="I431" s="2">
        <v>45857.77847222222</v>
      </c>
      <c r="J431" s="1">
        <f t="shared" si="10"/>
        <v>4.1833333333488554</v>
      </c>
      <c r="K431" s="1">
        <v>93.513944222760585</v>
      </c>
      <c r="L431" s="1">
        <v>32.6</v>
      </c>
      <c r="M431" s="1">
        <v>0</v>
      </c>
      <c r="N431" s="3" t="s">
        <v>3</v>
      </c>
      <c r="O431" s="3">
        <v>0</v>
      </c>
      <c r="P431" s="8" t="s">
        <v>48</v>
      </c>
      <c r="Q431" s="2">
        <v>45857.787430555552</v>
      </c>
      <c r="R431" s="2">
        <v>45857.886701388888</v>
      </c>
      <c r="S431" s="1"/>
      <c r="T431" s="1" t="s">
        <v>87</v>
      </c>
      <c r="U431" s="1">
        <v>8568</v>
      </c>
      <c r="V431" s="1">
        <v>6817</v>
      </c>
      <c r="W431" s="1">
        <v>70</v>
      </c>
      <c r="X431" s="1">
        <v>279</v>
      </c>
      <c r="Y431" s="1">
        <v>12</v>
      </c>
    </row>
    <row r="432" spans="1:25" x14ac:dyDescent="0.25">
      <c r="A432" s="3">
        <v>420</v>
      </c>
      <c r="C432" s="7">
        <v>45859</v>
      </c>
      <c r="D432" s="3">
        <v>3787</v>
      </c>
      <c r="E432" s="1">
        <v>6992.7</v>
      </c>
      <c r="F432" s="3" t="s">
        <v>2</v>
      </c>
      <c r="G432" s="1">
        <v>337.25</v>
      </c>
      <c r="H432" s="2">
        <v>45859.670138888891</v>
      </c>
      <c r="I432" s="2">
        <v>45859.861111111109</v>
      </c>
      <c r="J432" s="1">
        <f t="shared" si="10"/>
        <v>4.5833333332557231</v>
      </c>
      <c r="K432" s="1">
        <v>73.581818183064158</v>
      </c>
      <c r="L432" s="1">
        <v>32.6</v>
      </c>
      <c r="M432" s="1">
        <v>20</v>
      </c>
      <c r="N432" s="3" t="s">
        <v>3</v>
      </c>
      <c r="O432" s="3">
        <v>0</v>
      </c>
      <c r="P432" s="8" t="s">
        <v>24</v>
      </c>
      <c r="Q432" s="2">
        <v>45859.914548611108</v>
      </c>
      <c r="R432" s="2">
        <v>45859.989120370374</v>
      </c>
      <c r="S432" s="1"/>
      <c r="T432" s="1" t="s">
        <v>87</v>
      </c>
      <c r="U432" s="1">
        <v>4557</v>
      </c>
      <c r="V432" s="1">
        <v>3396</v>
      </c>
      <c r="W432" s="1">
        <v>35</v>
      </c>
      <c r="X432" s="1">
        <v>83</v>
      </c>
      <c r="Y432" s="1">
        <v>11</v>
      </c>
    </row>
    <row r="433" spans="1:25" x14ac:dyDescent="0.25">
      <c r="A433" s="3">
        <v>421</v>
      </c>
      <c r="C433" s="7">
        <v>45860</v>
      </c>
      <c r="D433" s="3">
        <v>3795</v>
      </c>
      <c r="E433" s="1">
        <v>7006.2</v>
      </c>
      <c r="F433" s="3" t="s">
        <v>2</v>
      </c>
      <c r="G433" s="1">
        <v>270.60000000000002</v>
      </c>
      <c r="H433" s="2">
        <v>45859.75277777778</v>
      </c>
      <c r="I433" s="2">
        <v>45859.997916666667</v>
      </c>
      <c r="J433" s="1">
        <f t="shared" si="10"/>
        <v>5.8833333333022892</v>
      </c>
      <c r="K433" s="1">
        <v>45.994334277863096</v>
      </c>
      <c r="L433" s="1">
        <v>32.6</v>
      </c>
      <c r="M433" s="1">
        <v>1</v>
      </c>
      <c r="N433" s="3" t="s">
        <v>3</v>
      </c>
      <c r="O433" s="3" t="s">
        <v>1</v>
      </c>
      <c r="P433" s="8" t="s">
        <v>24</v>
      </c>
      <c r="Q433" s="2">
        <v>45860.998217592591</v>
      </c>
      <c r="R433" s="2">
        <v>45861.125208333331</v>
      </c>
      <c r="S433" s="1"/>
      <c r="T433" s="1" t="s">
        <v>87</v>
      </c>
      <c r="U433" s="1">
        <v>8754</v>
      </c>
      <c r="V433" s="1">
        <v>5991</v>
      </c>
      <c r="W433" s="1">
        <v>69</v>
      </c>
      <c r="X433" s="1">
        <v>172</v>
      </c>
      <c r="Y433" s="1">
        <v>9</v>
      </c>
    </row>
    <row r="434" spans="1:25" x14ac:dyDescent="0.25">
      <c r="A434" s="3">
        <v>422</v>
      </c>
      <c r="C434" s="7">
        <v>45861</v>
      </c>
      <c r="D434" s="3">
        <v>3805</v>
      </c>
      <c r="E434" s="1">
        <v>7024.2</v>
      </c>
      <c r="F434" s="3" t="s">
        <v>2</v>
      </c>
      <c r="G434" s="1">
        <v>391.2</v>
      </c>
      <c r="H434" s="2">
        <v>45861.469444444447</v>
      </c>
      <c r="I434" s="2">
        <v>45861.640277777777</v>
      </c>
      <c r="J434" s="1">
        <f t="shared" si="10"/>
        <v>4.0999999999185093</v>
      </c>
      <c r="K434" s="1">
        <v>95.414634148237909</v>
      </c>
      <c r="L434" s="1">
        <v>32.6</v>
      </c>
      <c r="M434" s="1">
        <v>0</v>
      </c>
      <c r="N434" s="3" t="s">
        <v>3</v>
      </c>
      <c r="O434" s="3">
        <v>1</v>
      </c>
      <c r="P434" s="8" t="s">
        <v>24</v>
      </c>
      <c r="Q434" s="2">
        <v>45861.648310185185</v>
      </c>
      <c r="R434" s="2">
        <v>45861.902812499997</v>
      </c>
      <c r="S434" s="1"/>
      <c r="T434" s="1" t="s">
        <v>87</v>
      </c>
      <c r="U434" s="1">
        <v>15985</v>
      </c>
      <c r="V434" s="1">
        <v>11569</v>
      </c>
      <c r="W434" s="1">
        <v>117</v>
      </c>
      <c r="X434" s="1">
        <v>378</v>
      </c>
      <c r="Y434" s="1">
        <v>12</v>
      </c>
    </row>
    <row r="435" spans="1:25" x14ac:dyDescent="0.25">
      <c r="A435" s="3">
        <v>423</v>
      </c>
      <c r="C435" s="7">
        <v>45862</v>
      </c>
      <c r="D435" s="3">
        <v>3815</v>
      </c>
      <c r="E435" s="1">
        <v>7042.2</v>
      </c>
      <c r="F435" s="3" t="s">
        <v>2</v>
      </c>
      <c r="G435" s="1">
        <v>358.6</v>
      </c>
      <c r="H435" s="2">
        <v>45862.229166666664</v>
      </c>
      <c r="I435" s="2">
        <v>45862.379166666666</v>
      </c>
      <c r="J435" s="1">
        <f t="shared" si="10"/>
        <v>3.6000000000349246</v>
      </c>
      <c r="K435" s="1">
        <v>99.611111110144762</v>
      </c>
      <c r="L435" s="1">
        <v>32.6</v>
      </c>
      <c r="M435" s="1">
        <v>3</v>
      </c>
      <c r="N435" s="3" t="s">
        <v>5</v>
      </c>
      <c r="O435" s="3" t="s">
        <v>1</v>
      </c>
      <c r="P435" s="8"/>
      <c r="Q435" s="2">
        <v>45862.387638888889</v>
      </c>
      <c r="R435" s="2">
        <v>45862.568333333336</v>
      </c>
      <c r="S435" s="1"/>
      <c r="T435" s="1" t="s">
        <v>87</v>
      </c>
      <c r="U435" s="1">
        <v>17214</v>
      </c>
      <c r="V435" s="1">
        <v>12368</v>
      </c>
      <c r="W435" s="1">
        <v>127</v>
      </c>
      <c r="X435" s="1">
        <v>371</v>
      </c>
      <c r="Y435" s="1">
        <v>11</v>
      </c>
    </row>
    <row r="436" spans="1:25" x14ac:dyDescent="0.25">
      <c r="A436" s="3">
        <v>424</v>
      </c>
      <c r="C436" s="7">
        <v>45862</v>
      </c>
      <c r="D436" s="3">
        <v>3825</v>
      </c>
      <c r="E436" s="1">
        <v>7060.1</v>
      </c>
      <c r="F436" s="3" t="s">
        <v>2</v>
      </c>
      <c r="G436" s="1">
        <v>361.2</v>
      </c>
      <c r="H436" s="2">
        <v>45862.926388888889</v>
      </c>
      <c r="I436" s="2">
        <v>45863.048611111109</v>
      </c>
      <c r="J436" s="1">
        <f t="shared" si="10"/>
        <v>2.9333333332906477</v>
      </c>
      <c r="K436" s="1">
        <v>123.1363636381555</v>
      </c>
      <c r="L436" s="1">
        <v>32.6</v>
      </c>
      <c r="M436" s="1">
        <v>6</v>
      </c>
      <c r="N436" s="3" t="s">
        <v>5</v>
      </c>
      <c r="O436" s="3" t="s">
        <v>1</v>
      </c>
      <c r="P436" s="8"/>
      <c r="Q436" s="2">
        <v>45863.059166666666</v>
      </c>
      <c r="R436" s="2">
        <v>45863.192326388889</v>
      </c>
      <c r="S436" s="1"/>
      <c r="T436" s="1" t="s">
        <v>87</v>
      </c>
      <c r="U436" s="1">
        <v>12087</v>
      </c>
      <c r="V436" s="1">
        <v>8559</v>
      </c>
      <c r="W436" s="1">
        <v>86</v>
      </c>
      <c r="X436" s="1">
        <v>201</v>
      </c>
      <c r="Y436" s="1">
        <v>11</v>
      </c>
    </row>
    <row r="437" spans="1:25" x14ac:dyDescent="0.25">
      <c r="A437" s="3">
        <v>425</v>
      </c>
      <c r="C437" s="7">
        <v>45863</v>
      </c>
      <c r="D437" s="3">
        <v>3833</v>
      </c>
      <c r="E437" s="1">
        <v>7074.6</v>
      </c>
      <c r="F437" s="3" t="s">
        <v>2</v>
      </c>
      <c r="G437" s="1">
        <v>391.2</v>
      </c>
      <c r="H437" s="2">
        <v>45863.861111111109</v>
      </c>
      <c r="I437" s="2">
        <v>45864.083333333336</v>
      </c>
      <c r="J437" s="1">
        <f t="shared" si="10"/>
        <v>5.3333333334303461</v>
      </c>
      <c r="K437" s="1">
        <v>73.349999998665766</v>
      </c>
      <c r="L437" s="1">
        <v>32.6</v>
      </c>
      <c r="M437" s="1">
        <v>6</v>
      </c>
      <c r="N437" s="3" t="s">
        <v>5</v>
      </c>
      <c r="O437" s="3" t="s">
        <v>1</v>
      </c>
      <c r="P437" s="8"/>
      <c r="Q437" s="2">
        <v>45864.084675925929</v>
      </c>
      <c r="R437" s="2">
        <v>45864.203379629631</v>
      </c>
      <c r="S437" s="1"/>
      <c r="T437" s="1" t="s">
        <v>87</v>
      </c>
      <c r="U437" s="1">
        <v>10251</v>
      </c>
      <c r="V437" s="1">
        <v>7570</v>
      </c>
      <c r="W437" s="1">
        <v>78</v>
      </c>
      <c r="X437" s="1">
        <v>186</v>
      </c>
      <c r="Y437" s="1">
        <v>12</v>
      </c>
    </row>
    <row r="438" spans="1:25" x14ac:dyDescent="0.25">
      <c r="A438" s="3">
        <v>426</v>
      </c>
      <c r="C438" s="7">
        <v>45864</v>
      </c>
      <c r="D438" s="3">
        <v>3843</v>
      </c>
      <c r="E438" s="1">
        <v>7092.66</v>
      </c>
      <c r="F438" s="3" t="s">
        <v>2</v>
      </c>
      <c r="G438" s="1">
        <v>391.2</v>
      </c>
      <c r="H438" s="2">
        <v>45864.520833333336</v>
      </c>
      <c r="I438" s="2">
        <v>45864.677777777775</v>
      </c>
      <c r="J438" s="1">
        <f t="shared" si="10"/>
        <v>3.7666666665463708</v>
      </c>
      <c r="K438" s="1">
        <v>103.85840708296294</v>
      </c>
      <c r="L438" s="1">
        <v>32.6</v>
      </c>
      <c r="M438" s="1">
        <v>16</v>
      </c>
      <c r="N438" s="3" t="s">
        <v>5</v>
      </c>
      <c r="O438" s="3" t="s">
        <v>1</v>
      </c>
      <c r="P438" s="8"/>
      <c r="Q438" s="2">
        <v>45864.681064814817</v>
      </c>
      <c r="R438" s="2">
        <v>45864.90252314815</v>
      </c>
      <c r="S438" s="1"/>
      <c r="T438" s="1" t="s">
        <v>87</v>
      </c>
      <c r="U438" s="1">
        <v>24926</v>
      </c>
      <c r="V438" s="1">
        <v>17097</v>
      </c>
      <c r="W438" s="1">
        <v>190</v>
      </c>
      <c r="X438" s="1">
        <v>384</v>
      </c>
      <c r="Y438" s="1">
        <v>12</v>
      </c>
    </row>
    <row r="439" spans="1:25" x14ac:dyDescent="0.25">
      <c r="A439" s="3">
        <v>427</v>
      </c>
      <c r="C439" s="7">
        <v>45866</v>
      </c>
      <c r="D439" s="3">
        <v>3853</v>
      </c>
      <c r="E439" s="1">
        <v>7110.6</v>
      </c>
      <c r="F439" s="3" t="s">
        <v>2</v>
      </c>
      <c r="G439" s="1">
        <v>480</v>
      </c>
      <c r="H439" s="2">
        <v>45866.715277777781</v>
      </c>
      <c r="I439" s="2">
        <v>45866.887499999997</v>
      </c>
      <c r="J439" s="1">
        <f t="shared" si="10"/>
        <v>4.1333333331858739</v>
      </c>
      <c r="K439" s="1">
        <v>116.1290322622075</v>
      </c>
      <c r="L439" s="1">
        <v>40</v>
      </c>
      <c r="M439" s="1">
        <v>1</v>
      </c>
      <c r="N439" s="3" t="s">
        <v>3</v>
      </c>
      <c r="O439" s="3">
        <v>1</v>
      </c>
      <c r="P439" s="8" t="s">
        <v>7</v>
      </c>
      <c r="Q439" s="2">
        <v>45866.838773148149</v>
      </c>
      <c r="R439" s="2">
        <v>45867.041331018518</v>
      </c>
      <c r="S439" s="1"/>
      <c r="T439" s="1" t="s">
        <v>87</v>
      </c>
      <c r="U439" s="1">
        <v>15429</v>
      </c>
      <c r="V439" s="1">
        <v>11287</v>
      </c>
      <c r="W439" s="1">
        <v>116</v>
      </c>
      <c r="X439" s="1">
        <v>283</v>
      </c>
      <c r="Y439" s="1">
        <v>12</v>
      </c>
    </row>
    <row r="440" spans="1:25" x14ac:dyDescent="0.25">
      <c r="A440" s="3">
        <v>428</v>
      </c>
      <c r="C440" s="7">
        <v>45867</v>
      </c>
      <c r="D440" s="3">
        <v>3867</v>
      </c>
      <c r="E440" s="1">
        <v>7135.8</v>
      </c>
      <c r="F440" s="3" t="s">
        <v>2</v>
      </c>
      <c r="G440" s="1">
        <v>520</v>
      </c>
      <c r="H440" s="2">
        <v>45867.648611111108</v>
      </c>
      <c r="I440" s="2">
        <v>45867.864583333336</v>
      </c>
      <c r="J440" s="1">
        <f t="shared" si="10"/>
        <v>5.1833333334652707</v>
      </c>
      <c r="K440" s="1">
        <v>100.32154340580652</v>
      </c>
      <c r="L440" s="1">
        <v>40</v>
      </c>
      <c r="M440" s="1">
        <v>1</v>
      </c>
      <c r="N440" s="3" t="s">
        <v>3</v>
      </c>
      <c r="O440" s="3">
        <v>1</v>
      </c>
      <c r="P440" s="8" t="s">
        <v>24</v>
      </c>
      <c r="Q440" s="2">
        <v>45867.852916666663</v>
      </c>
      <c r="R440" s="2">
        <v>45868.247187499997</v>
      </c>
      <c r="S440" s="1"/>
      <c r="T440" s="1" t="s">
        <v>87</v>
      </c>
      <c r="U440" s="1">
        <v>14733</v>
      </c>
      <c r="V440" s="1">
        <v>10025</v>
      </c>
      <c r="W440" s="1">
        <v>103</v>
      </c>
      <c r="X440" s="1">
        <v>209</v>
      </c>
      <c r="Y440" s="1">
        <v>12</v>
      </c>
    </row>
    <row r="441" spans="1:25" x14ac:dyDescent="0.25">
      <c r="A441" s="3">
        <v>429</v>
      </c>
      <c r="C441" s="7">
        <v>45868</v>
      </c>
      <c r="D441" s="3">
        <v>3881</v>
      </c>
      <c r="E441" s="1">
        <v>7161</v>
      </c>
      <c r="F441" s="3" t="s">
        <v>2</v>
      </c>
      <c r="G441" s="1">
        <v>480</v>
      </c>
      <c r="H441" s="2">
        <v>45868.798611111109</v>
      </c>
      <c r="I441" s="2">
        <v>45869.013888888891</v>
      </c>
      <c r="J441" s="1">
        <f t="shared" si="10"/>
        <v>5.1666666667442769</v>
      </c>
      <c r="K441" s="1">
        <v>92.903225805056081</v>
      </c>
      <c r="L441" s="1">
        <v>40</v>
      </c>
      <c r="M441" s="1">
        <v>13</v>
      </c>
      <c r="N441" s="3" t="s">
        <v>5</v>
      </c>
      <c r="O441" s="3" t="s">
        <v>1</v>
      </c>
      <c r="P441" s="8"/>
      <c r="Q441" s="2">
        <v>45868.990277777775</v>
      </c>
      <c r="R441" s="2">
        <v>45869.142361111109</v>
      </c>
      <c r="S441" s="1"/>
      <c r="T441" s="1" t="s">
        <v>87</v>
      </c>
      <c r="U441" s="1">
        <v>17115</v>
      </c>
      <c r="V441" s="1">
        <v>12278</v>
      </c>
      <c r="W441" s="1">
        <v>127</v>
      </c>
      <c r="X441" s="1">
        <v>295</v>
      </c>
      <c r="Y441" s="1">
        <v>12</v>
      </c>
    </row>
    <row r="442" spans="1:25" x14ac:dyDescent="0.25">
      <c r="A442" s="3">
        <v>430</v>
      </c>
      <c r="C442" s="7">
        <v>45869</v>
      </c>
      <c r="D442" s="3">
        <v>3895</v>
      </c>
      <c r="E442" s="1">
        <v>7186.2</v>
      </c>
      <c r="F442" s="3" t="s">
        <v>2</v>
      </c>
      <c r="G442" s="1">
        <v>480</v>
      </c>
      <c r="H442" s="2">
        <v>45869.5625</v>
      </c>
      <c r="I442" s="2">
        <v>45869.808333333334</v>
      </c>
      <c r="J442" s="1">
        <f t="shared" si="10"/>
        <v>5.9000000000232831</v>
      </c>
      <c r="K442" s="1">
        <v>81.355932203068775</v>
      </c>
      <c r="L442" s="1">
        <v>40</v>
      </c>
      <c r="M442" s="1">
        <v>4</v>
      </c>
      <c r="N442" s="3" t="s">
        <v>3</v>
      </c>
      <c r="O442" s="3">
        <v>1</v>
      </c>
      <c r="P442" s="8" t="s">
        <v>7</v>
      </c>
      <c r="Q442" s="2">
        <v>45869.800266203703</v>
      </c>
      <c r="R442" s="2">
        <v>45869.907592592594</v>
      </c>
      <c r="S442" s="1"/>
      <c r="T442" s="1" t="s">
        <v>87</v>
      </c>
      <c r="U442" s="1">
        <v>10797</v>
      </c>
      <c r="V442" s="1">
        <v>7362</v>
      </c>
      <c r="W442" s="1">
        <v>77</v>
      </c>
      <c r="X442" s="1">
        <v>175</v>
      </c>
      <c r="Y442" s="1">
        <v>12</v>
      </c>
    </row>
    <row r="443" spans="1:25" x14ac:dyDescent="0.25">
      <c r="A443" s="3">
        <v>431</v>
      </c>
      <c r="C443" s="7">
        <v>45870</v>
      </c>
      <c r="D443" s="3">
        <v>3909</v>
      </c>
      <c r="E443" s="1">
        <v>7211.4</v>
      </c>
      <c r="F443" s="3" t="s">
        <v>2</v>
      </c>
      <c r="G443" s="1">
        <v>381.3</v>
      </c>
      <c r="H443" s="2">
        <v>45870.423611111109</v>
      </c>
      <c r="I443" s="2">
        <v>45870.588194444441</v>
      </c>
      <c r="J443" s="1">
        <f t="shared" si="10"/>
        <v>3.9499999999534339</v>
      </c>
      <c r="K443" s="1">
        <v>96.531645570758258</v>
      </c>
      <c r="L443" s="1">
        <v>40</v>
      </c>
      <c r="M443" s="1">
        <v>28</v>
      </c>
      <c r="N443" s="3" t="s">
        <v>3</v>
      </c>
      <c r="O443" s="3"/>
      <c r="P443" s="8" t="s">
        <v>7</v>
      </c>
      <c r="Q443" s="2">
        <v>45870.569918981484</v>
      </c>
      <c r="R443" s="2">
        <v>45870.767048611109</v>
      </c>
      <c r="S443" s="1"/>
      <c r="T443" s="1" t="s">
        <v>87</v>
      </c>
      <c r="U443" s="1">
        <v>17691</v>
      </c>
      <c r="V443" s="1">
        <v>12779</v>
      </c>
      <c r="W443" s="1">
        <v>131</v>
      </c>
      <c r="X443" s="1">
        <v>486</v>
      </c>
      <c r="Y443" s="1">
        <v>12</v>
      </c>
    </row>
    <row r="444" spans="1:25" x14ac:dyDescent="0.25">
      <c r="A444" s="3">
        <v>432</v>
      </c>
      <c r="C444" s="7">
        <v>45871</v>
      </c>
      <c r="D444" s="3">
        <v>3913</v>
      </c>
      <c r="E444" s="1">
        <v>7218.6</v>
      </c>
      <c r="F444" s="3" t="s">
        <v>2</v>
      </c>
      <c r="G444" s="1">
        <v>164.2</v>
      </c>
      <c r="H444" s="2">
        <v>45870.90625</v>
      </c>
      <c r="I444" s="2">
        <v>45871.041666666664</v>
      </c>
      <c r="J444" s="1">
        <f t="shared" si="10"/>
        <v>3.2499999999417923</v>
      </c>
      <c r="K444" s="1">
        <v>50.52307692398179</v>
      </c>
      <c r="L444" s="1">
        <v>26</v>
      </c>
      <c r="M444" s="1">
        <v>0</v>
      </c>
      <c r="N444" s="3" t="s">
        <v>3</v>
      </c>
      <c r="O444" s="3"/>
      <c r="P444" s="8" t="s">
        <v>49</v>
      </c>
      <c r="Q444" s="2">
        <v>45871.053217592591</v>
      </c>
      <c r="R444" s="2">
        <v>45871.158715277779</v>
      </c>
      <c r="S444" s="1"/>
      <c r="T444" s="1" t="s">
        <v>87</v>
      </c>
      <c r="U444" s="1">
        <v>6601</v>
      </c>
      <c r="V444" s="1">
        <v>4363</v>
      </c>
      <c r="W444" s="1">
        <v>46</v>
      </c>
      <c r="X444" s="1">
        <v>126</v>
      </c>
      <c r="Y444" s="1">
        <v>6</v>
      </c>
    </row>
    <row r="445" spans="1:25" x14ac:dyDescent="0.25">
      <c r="A445" s="3">
        <v>433</v>
      </c>
      <c r="C445" s="7">
        <v>45871</v>
      </c>
      <c r="D445" s="3">
        <v>3919</v>
      </c>
      <c r="E445" s="1">
        <v>7229.4</v>
      </c>
      <c r="F445" s="3" t="s">
        <v>2</v>
      </c>
      <c r="G445" s="1">
        <v>391.2</v>
      </c>
      <c r="H445" s="2">
        <v>45871.34375</v>
      </c>
      <c r="I445" s="2">
        <v>45871.546527777777</v>
      </c>
      <c r="J445" s="1">
        <f t="shared" si="10"/>
        <v>4.8666666666395031</v>
      </c>
      <c r="K445" s="1">
        <v>80.383561644284285</v>
      </c>
      <c r="L445" s="1">
        <v>33</v>
      </c>
      <c r="M445" s="1">
        <v>0</v>
      </c>
      <c r="N445" s="3" t="s">
        <v>3</v>
      </c>
      <c r="O445" s="3"/>
      <c r="P445" s="8" t="s">
        <v>7</v>
      </c>
      <c r="Q445" s="2">
        <v>45871.568009259259</v>
      </c>
      <c r="R445" s="2">
        <v>45871.810532407406</v>
      </c>
      <c r="S445" s="1"/>
      <c r="T445" s="1" t="s">
        <v>87</v>
      </c>
      <c r="U445" s="1">
        <v>22168</v>
      </c>
      <c r="V445" s="1">
        <v>14600</v>
      </c>
      <c r="W445" s="1">
        <v>148</v>
      </c>
      <c r="X445" s="1">
        <v>460</v>
      </c>
      <c r="Y445" s="1">
        <v>12</v>
      </c>
    </row>
    <row r="446" spans="1:25" x14ac:dyDescent="0.25">
      <c r="A446" s="3">
        <v>434</v>
      </c>
      <c r="C446" s="7">
        <v>45873</v>
      </c>
      <c r="D446" s="3">
        <v>3929</v>
      </c>
      <c r="E446" s="1">
        <v>7247.49</v>
      </c>
      <c r="F446" s="3" t="s">
        <v>2</v>
      </c>
      <c r="G446" s="1">
        <v>391.2</v>
      </c>
      <c r="H446" s="2">
        <v>45873.309027777781</v>
      </c>
      <c r="I446" s="2">
        <v>45873.472222222219</v>
      </c>
      <c r="J446" s="1">
        <f t="shared" si="10"/>
        <v>3.9166666665114462</v>
      </c>
      <c r="K446" s="1">
        <v>99.880851067788143</v>
      </c>
      <c r="L446" s="1">
        <v>33</v>
      </c>
      <c r="M446" s="1">
        <v>3</v>
      </c>
      <c r="N446" s="3" t="s">
        <v>5</v>
      </c>
      <c r="O446" s="3"/>
      <c r="P446" s="14"/>
      <c r="Q446" s="2">
        <v>45873.448634259257</v>
      </c>
      <c r="R446" s="2">
        <v>45873.5703587963</v>
      </c>
      <c r="S446" s="1"/>
      <c r="T446" s="1" t="s">
        <v>87</v>
      </c>
      <c r="U446" s="1">
        <v>12075</v>
      </c>
      <c r="V446" s="1">
        <v>8744</v>
      </c>
      <c r="W446" s="1">
        <v>88</v>
      </c>
      <c r="X446" s="1">
        <v>244</v>
      </c>
      <c r="Y446" s="1">
        <v>12</v>
      </c>
    </row>
    <row r="447" spans="1:25" x14ac:dyDescent="0.25">
      <c r="A447" s="3">
        <v>435</v>
      </c>
      <c r="C447" s="7">
        <v>45873</v>
      </c>
      <c r="D447" s="3">
        <v>3937</v>
      </c>
      <c r="E447" s="1">
        <v>7262.55</v>
      </c>
      <c r="F447" s="3" t="s">
        <v>2</v>
      </c>
      <c r="G447" s="1">
        <v>391</v>
      </c>
      <c r="H447" s="2">
        <v>45873.929166666669</v>
      </c>
      <c r="I447" s="2">
        <v>45874.074999999997</v>
      </c>
      <c r="J447" s="1">
        <f t="shared" si="10"/>
        <v>3.4999999998835847</v>
      </c>
      <c r="K447" s="1">
        <v>111.71428571800151</v>
      </c>
      <c r="L447" s="1">
        <v>33</v>
      </c>
      <c r="M447" s="1">
        <v>3</v>
      </c>
      <c r="N447" s="3" t="s">
        <v>5</v>
      </c>
      <c r="O447" s="3"/>
      <c r="P447" s="8" t="s">
        <v>50</v>
      </c>
      <c r="Q447" s="2">
        <v>45874.076388888891</v>
      </c>
      <c r="R447" s="2">
        <v>45874.484027777777</v>
      </c>
      <c r="S447" s="1"/>
      <c r="T447" s="1" t="s">
        <v>87</v>
      </c>
      <c r="U447" s="1">
        <v>29983</v>
      </c>
      <c r="V447" s="1">
        <v>19724</v>
      </c>
      <c r="W447" s="1">
        <v>208</v>
      </c>
      <c r="X447" s="1">
        <v>568</v>
      </c>
      <c r="Y447" s="1">
        <v>12</v>
      </c>
    </row>
    <row r="448" spans="1:25" x14ac:dyDescent="0.25">
      <c r="A448" s="3">
        <v>436</v>
      </c>
      <c r="C448" s="7">
        <v>45874</v>
      </c>
      <c r="D448" s="3">
        <v>3945</v>
      </c>
      <c r="E448" s="1">
        <v>7276.95</v>
      </c>
      <c r="F448" s="3" t="s">
        <v>2</v>
      </c>
      <c r="G448" s="1">
        <v>391.2</v>
      </c>
      <c r="H448" s="2">
        <v>45874.809027777781</v>
      </c>
      <c r="I448" s="2">
        <v>45874.940972222219</v>
      </c>
      <c r="J448" s="1">
        <f t="shared" si="10"/>
        <v>3.1666666665114462</v>
      </c>
      <c r="K448" s="1">
        <v>123.53684211131856</v>
      </c>
      <c r="L448" s="1">
        <v>33</v>
      </c>
      <c r="M448" s="1">
        <v>0</v>
      </c>
      <c r="N448" s="3" t="s">
        <v>5</v>
      </c>
      <c r="O448" s="3"/>
      <c r="P448" s="14"/>
      <c r="Q448" s="2">
        <v>45874.952002314814</v>
      </c>
      <c r="R448" s="2">
        <v>45875.275925925926</v>
      </c>
      <c r="S448" s="1"/>
      <c r="T448" s="1" t="s">
        <v>87</v>
      </c>
      <c r="U448" s="1">
        <v>25339</v>
      </c>
      <c r="V448" s="1">
        <v>15823</v>
      </c>
      <c r="W448" s="1">
        <v>170</v>
      </c>
      <c r="X448" s="1">
        <v>507</v>
      </c>
      <c r="Y448" s="1">
        <v>12</v>
      </c>
    </row>
    <row r="449" spans="1:25" x14ac:dyDescent="0.25">
      <c r="A449" s="3">
        <v>437</v>
      </c>
      <c r="C449" s="7">
        <v>45875</v>
      </c>
      <c r="D449" s="3">
        <v>3955</v>
      </c>
      <c r="E449" s="1">
        <v>7294.8</v>
      </c>
      <c r="F449" s="15" t="s">
        <v>2</v>
      </c>
      <c r="G449" s="1">
        <v>391.2</v>
      </c>
      <c r="H449" s="2">
        <v>45875.711805555555</v>
      </c>
      <c r="I449" s="2">
        <v>45875.864583333336</v>
      </c>
      <c r="J449" s="1">
        <f t="shared" si="10"/>
        <v>3.6666666667442769</v>
      </c>
      <c r="K449" s="1">
        <v>106.69090908865083</v>
      </c>
      <c r="L449" s="1">
        <v>33</v>
      </c>
      <c r="M449" s="1">
        <v>0</v>
      </c>
      <c r="N449" s="3" t="s">
        <v>5</v>
      </c>
      <c r="O449" s="3"/>
      <c r="P449" s="14"/>
      <c r="Q449" s="2">
        <v>45875.849814814814</v>
      </c>
      <c r="R449" s="2">
        <v>45875.893449074072</v>
      </c>
      <c r="S449" s="1"/>
      <c r="T449" s="1" t="s">
        <v>87</v>
      </c>
      <c r="U449" s="1">
        <v>2025</v>
      </c>
      <c r="V449" s="1">
        <v>1867.6</v>
      </c>
      <c r="W449" s="1">
        <v>21.7</v>
      </c>
      <c r="X449" s="1">
        <v>64</v>
      </c>
      <c r="Y449" s="1">
        <v>12</v>
      </c>
    </row>
    <row r="450" spans="1:25" x14ac:dyDescent="0.25">
      <c r="A450" s="3">
        <v>438</v>
      </c>
      <c r="C450" s="7">
        <v>45876</v>
      </c>
      <c r="D450" s="3">
        <v>3965</v>
      </c>
      <c r="E450" s="1">
        <v>7312.8</v>
      </c>
      <c r="F450" s="3" t="s">
        <v>2</v>
      </c>
      <c r="G450" s="1">
        <v>391.2</v>
      </c>
      <c r="H450" s="2">
        <v>45876.5625</v>
      </c>
      <c r="I450" s="2">
        <v>45876.70416666667</v>
      </c>
      <c r="J450" s="1">
        <f t="shared" ref="J450:J513" si="11">(I450-H450)*24</f>
        <v>3.4000000000814907</v>
      </c>
      <c r="K450" s="1">
        <v>115.05882352665405</v>
      </c>
      <c r="L450" s="1">
        <v>33</v>
      </c>
      <c r="M450" s="1">
        <v>0</v>
      </c>
      <c r="N450" s="3" t="s">
        <v>5</v>
      </c>
      <c r="O450" s="3"/>
      <c r="P450" s="14"/>
      <c r="Q450" s="2">
        <v>45876.721585648149</v>
      </c>
      <c r="R450" s="2">
        <v>45876.911400462966</v>
      </c>
      <c r="S450" s="1"/>
      <c r="T450" s="1" t="s">
        <v>87</v>
      </c>
      <c r="U450" s="1">
        <v>15072</v>
      </c>
      <c r="V450" s="1">
        <v>11039.599999999999</v>
      </c>
      <c r="W450" s="1">
        <v>114.1</v>
      </c>
      <c r="X450" s="1">
        <v>336.1</v>
      </c>
      <c r="Y450" s="1">
        <v>12</v>
      </c>
    </row>
    <row r="451" spans="1:25" x14ac:dyDescent="0.25">
      <c r="A451" s="3">
        <v>439</v>
      </c>
      <c r="C451" s="7">
        <v>45877</v>
      </c>
      <c r="D451" s="3">
        <v>3973</v>
      </c>
      <c r="E451" s="1">
        <v>7326.7</v>
      </c>
      <c r="F451" s="15" t="s">
        <v>2</v>
      </c>
      <c r="G451" s="1">
        <v>391.2</v>
      </c>
      <c r="H451" s="2">
        <v>45877.75</v>
      </c>
      <c r="I451" s="2">
        <v>45877.944444444445</v>
      </c>
      <c r="J451" s="1">
        <f t="shared" si="11"/>
        <v>4.6666666666860692</v>
      </c>
      <c r="K451" s="1">
        <v>83.828571428222887</v>
      </c>
      <c r="L451" s="1">
        <v>33</v>
      </c>
      <c r="M451" s="1">
        <v>3</v>
      </c>
      <c r="N451" s="3" t="s">
        <v>5</v>
      </c>
      <c r="O451" s="3"/>
      <c r="P451" s="14"/>
      <c r="Q451" s="2">
        <v>45877.981793981482</v>
      </c>
      <c r="R451" s="2">
        <v>45878.466400462959</v>
      </c>
      <c r="S451" s="1"/>
      <c r="T451" s="1" t="s">
        <v>87</v>
      </c>
      <c r="U451" s="1">
        <v>16175</v>
      </c>
      <c r="V451" s="1">
        <v>11191.5</v>
      </c>
      <c r="W451" s="1">
        <v>116.19999999999997</v>
      </c>
      <c r="X451" s="1">
        <v>345.80000000000007</v>
      </c>
      <c r="Y451" s="1">
        <v>12</v>
      </c>
    </row>
    <row r="452" spans="1:25" x14ac:dyDescent="0.25">
      <c r="A452" s="3">
        <v>440</v>
      </c>
      <c r="C452" s="7">
        <v>45878</v>
      </c>
      <c r="D452" s="3">
        <v>3983</v>
      </c>
      <c r="E452" s="1">
        <v>7344.52</v>
      </c>
      <c r="F452" s="15" t="s">
        <v>2</v>
      </c>
      <c r="G452" s="1">
        <v>391.2</v>
      </c>
      <c r="H452" s="2">
        <v>45878.801388888889</v>
      </c>
      <c r="I452" s="2">
        <v>45878.930555555555</v>
      </c>
      <c r="J452" s="1">
        <f t="shared" si="11"/>
        <v>3.0999999999767169</v>
      </c>
      <c r="K452" s="1">
        <v>126.19354838804456</v>
      </c>
      <c r="L452" s="1">
        <v>33</v>
      </c>
      <c r="M452" s="1">
        <v>0</v>
      </c>
      <c r="N452" s="3" t="s">
        <v>5</v>
      </c>
      <c r="O452" s="3"/>
      <c r="P452" s="14"/>
      <c r="Q452" s="2">
        <v>45878.916666666664</v>
      </c>
      <c r="R452" s="2">
        <v>45879.000578703701</v>
      </c>
      <c r="S452" s="1"/>
      <c r="T452" s="1" t="s">
        <v>87</v>
      </c>
      <c r="U452" s="1">
        <v>5262</v>
      </c>
      <c r="V452" s="1">
        <v>3538.8</v>
      </c>
      <c r="W452" s="1">
        <v>41.20000000000001</v>
      </c>
      <c r="X452" s="1">
        <v>123</v>
      </c>
      <c r="Y452" s="1">
        <v>12</v>
      </c>
    </row>
    <row r="453" spans="1:25" x14ac:dyDescent="0.25">
      <c r="A453" s="3">
        <v>441</v>
      </c>
      <c r="C453" s="7">
        <v>45880</v>
      </c>
      <c r="D453" s="3">
        <v>3993</v>
      </c>
      <c r="E453" s="1">
        <v>7362.7</v>
      </c>
      <c r="F453" s="15" t="s">
        <v>2</v>
      </c>
      <c r="G453" s="1">
        <v>391.2</v>
      </c>
      <c r="H453" s="2">
        <v>45880.645833333336</v>
      </c>
      <c r="I453" s="2">
        <v>45880.762499999997</v>
      </c>
      <c r="J453" s="1">
        <f t="shared" si="11"/>
        <v>2.7999999998719431</v>
      </c>
      <c r="K453" s="1">
        <v>139.71428572067549</v>
      </c>
      <c r="L453" s="1">
        <v>33</v>
      </c>
      <c r="M453" s="1">
        <v>0</v>
      </c>
      <c r="N453" s="3" t="s">
        <v>5</v>
      </c>
      <c r="O453" s="3"/>
      <c r="P453" s="14"/>
      <c r="Q453" s="2">
        <v>45880.725011574075</v>
      </c>
      <c r="R453" s="2">
        <v>45880.894016203703</v>
      </c>
      <c r="S453" s="1"/>
      <c r="T453" s="1" t="s">
        <v>87</v>
      </c>
      <c r="U453" s="1">
        <v>15727</v>
      </c>
      <c r="V453" s="1">
        <v>11364</v>
      </c>
      <c r="W453" s="1">
        <v>118</v>
      </c>
      <c r="X453" s="1">
        <v>346</v>
      </c>
      <c r="Y453" s="1">
        <v>12</v>
      </c>
    </row>
    <row r="454" spans="1:25" x14ac:dyDescent="0.25">
      <c r="A454" s="3">
        <v>442</v>
      </c>
      <c r="C454" s="7">
        <v>45881</v>
      </c>
      <c r="D454" s="3">
        <v>4001</v>
      </c>
      <c r="E454" s="1">
        <v>7377.1</v>
      </c>
      <c r="F454" s="15" t="s">
        <v>2</v>
      </c>
      <c r="G454" s="1">
        <v>391.2</v>
      </c>
      <c r="H454" s="2">
        <v>45881.223611111112</v>
      </c>
      <c r="I454" s="2">
        <v>45881.334027777775</v>
      </c>
      <c r="J454" s="1">
        <f t="shared" si="11"/>
        <v>2.6499999999068677</v>
      </c>
      <c r="K454" s="1">
        <v>147.62264151462205</v>
      </c>
      <c r="L454" s="1">
        <v>33</v>
      </c>
      <c r="M454" s="1">
        <v>0</v>
      </c>
      <c r="N454" s="3" t="s">
        <v>5</v>
      </c>
      <c r="O454" s="3"/>
      <c r="P454" s="14"/>
      <c r="Q454" s="2">
        <v>45881.336689814816</v>
      </c>
      <c r="R454" s="2">
        <v>45881.485324074078</v>
      </c>
      <c r="S454" s="1"/>
      <c r="T454" s="1" t="s">
        <v>87</v>
      </c>
      <c r="U454" s="1">
        <v>11055</v>
      </c>
      <c r="V454" s="1">
        <v>7440</v>
      </c>
      <c r="W454" s="1">
        <v>80</v>
      </c>
      <c r="X454" s="1">
        <v>226</v>
      </c>
      <c r="Y454" s="1">
        <v>12</v>
      </c>
    </row>
    <row r="455" spans="1:25" x14ac:dyDescent="0.25">
      <c r="A455" s="3">
        <v>443</v>
      </c>
      <c r="C455" s="7">
        <v>45881</v>
      </c>
      <c r="D455" s="3">
        <v>4011</v>
      </c>
      <c r="E455" s="1">
        <v>7395.1</v>
      </c>
      <c r="F455" s="15" t="s">
        <v>2</v>
      </c>
      <c r="G455" s="1">
        <v>391.2</v>
      </c>
      <c r="H455" s="2">
        <v>45881.834027777775</v>
      </c>
      <c r="I455" s="2">
        <v>45881.932638888888</v>
      </c>
      <c r="J455" s="1">
        <f t="shared" si="11"/>
        <v>2.3666666666977108</v>
      </c>
      <c r="K455" s="1">
        <v>165.29577464571909</v>
      </c>
      <c r="L455" s="1">
        <v>33</v>
      </c>
      <c r="M455" s="1">
        <v>14</v>
      </c>
      <c r="N455" s="3" t="s">
        <v>5</v>
      </c>
      <c r="O455" s="3"/>
      <c r="P455" s="14" t="s">
        <v>51</v>
      </c>
      <c r="Q455" s="2">
        <v>45881.94935185185</v>
      </c>
      <c r="R455" s="2">
        <v>45882.218206018515</v>
      </c>
      <c r="S455" s="1"/>
      <c r="T455" s="1" t="s">
        <v>87</v>
      </c>
      <c r="U455" s="1">
        <v>20026</v>
      </c>
      <c r="V455" s="1">
        <v>13542</v>
      </c>
      <c r="W455" s="1">
        <v>138</v>
      </c>
      <c r="X455" s="1">
        <v>406</v>
      </c>
      <c r="Y455" s="1">
        <v>12</v>
      </c>
    </row>
    <row r="456" spans="1:25" x14ac:dyDescent="0.25">
      <c r="A456" s="3">
        <v>444</v>
      </c>
      <c r="C456" s="7">
        <v>45882</v>
      </c>
      <c r="D456" s="3">
        <v>4021</v>
      </c>
      <c r="E456" s="1">
        <v>7413.1</v>
      </c>
      <c r="F456" s="15" t="s">
        <v>2</v>
      </c>
      <c r="G456" s="1">
        <v>675.6</v>
      </c>
      <c r="H456" s="2">
        <v>45882.506944444445</v>
      </c>
      <c r="I456" s="2">
        <v>45882.818055555559</v>
      </c>
      <c r="J456" s="1">
        <f t="shared" si="11"/>
        <v>7.4666666667326353</v>
      </c>
      <c r="K456" s="1">
        <v>90.482142856343444</v>
      </c>
      <c r="L456" s="1">
        <v>40</v>
      </c>
      <c r="M456" s="1">
        <v>2</v>
      </c>
      <c r="N456" s="3" t="s">
        <v>5</v>
      </c>
      <c r="O456" s="3"/>
      <c r="P456" s="14" t="s">
        <v>52</v>
      </c>
      <c r="Q456" s="2">
        <v>45882.813159722224</v>
      </c>
      <c r="R456" s="2">
        <v>45883.06422453704</v>
      </c>
      <c r="S456" s="1"/>
      <c r="T456" s="1" t="s">
        <v>87</v>
      </c>
      <c r="U456" s="1">
        <v>20742</v>
      </c>
      <c r="V456" s="1">
        <v>14449</v>
      </c>
      <c r="W456" s="1">
        <v>146</v>
      </c>
      <c r="X456" s="1">
        <v>428</v>
      </c>
      <c r="Y456" s="1">
        <v>18</v>
      </c>
    </row>
    <row r="457" spans="1:25" x14ac:dyDescent="0.25">
      <c r="A457" s="3">
        <v>445</v>
      </c>
      <c r="C457" s="7">
        <v>45883</v>
      </c>
      <c r="D457" s="3">
        <v>4029</v>
      </c>
      <c r="E457" s="1">
        <v>7427.5</v>
      </c>
      <c r="F457" s="15" t="s">
        <v>2</v>
      </c>
      <c r="G457" s="1">
        <v>675.6</v>
      </c>
      <c r="H457" s="2">
        <v>45883.3125</v>
      </c>
      <c r="I457" s="2">
        <v>45883.545138888891</v>
      </c>
      <c r="J457" s="1">
        <f t="shared" si="11"/>
        <v>5.5833333333721384</v>
      </c>
      <c r="K457" s="1">
        <v>121.00298507378588</v>
      </c>
      <c r="L457" s="1">
        <v>40</v>
      </c>
      <c r="M457" s="1">
        <v>5</v>
      </c>
      <c r="N457" s="3" t="s">
        <v>3</v>
      </c>
      <c r="O457" s="3"/>
      <c r="P457" s="14"/>
      <c r="Q457" s="2">
        <v>45883.513240740744</v>
      </c>
      <c r="R457" s="2">
        <v>45883.728773148148</v>
      </c>
      <c r="S457" s="1"/>
      <c r="T457" s="1" t="s">
        <v>87</v>
      </c>
      <c r="U457" s="1">
        <v>17726</v>
      </c>
      <c r="V457" s="1">
        <v>12909</v>
      </c>
      <c r="W457" s="1">
        <v>134</v>
      </c>
      <c r="X457" s="1">
        <v>387</v>
      </c>
      <c r="Y457" s="1">
        <v>18</v>
      </c>
    </row>
    <row r="458" spans="1:25" x14ac:dyDescent="0.25">
      <c r="A458" s="3">
        <v>446</v>
      </c>
      <c r="C458" s="7">
        <v>45883</v>
      </c>
      <c r="D458" s="3">
        <v>4039</v>
      </c>
      <c r="E458" s="1">
        <v>7445.5</v>
      </c>
      <c r="F458" s="15" t="s">
        <v>2</v>
      </c>
      <c r="G458" s="1">
        <v>635.6</v>
      </c>
      <c r="H458" s="2">
        <v>45883.996527777781</v>
      </c>
      <c r="I458" s="2">
        <v>45884.217361111114</v>
      </c>
      <c r="J458" s="1">
        <f t="shared" si="11"/>
        <v>5.2999999999883585</v>
      </c>
      <c r="K458" s="1">
        <v>119.92452830215021</v>
      </c>
      <c r="L458" s="1">
        <v>40</v>
      </c>
      <c r="M458" s="1">
        <v>0</v>
      </c>
      <c r="N458" s="3" t="s">
        <v>5</v>
      </c>
      <c r="O458" s="3"/>
      <c r="P458" s="14"/>
      <c r="Q458" s="2">
        <v>45884.185416666667</v>
      </c>
      <c r="R458" s="2">
        <v>45884.543842592589</v>
      </c>
      <c r="S458" s="1"/>
      <c r="T458" s="1" t="s">
        <v>87</v>
      </c>
      <c r="U458" s="1">
        <v>23586</v>
      </c>
      <c r="V458" s="1">
        <v>17015.099999999999</v>
      </c>
      <c r="W458" s="1">
        <v>174</v>
      </c>
      <c r="X458" s="1">
        <v>509.99999999999989</v>
      </c>
      <c r="Y458" s="1">
        <v>17</v>
      </c>
    </row>
    <row r="459" spans="1:25" x14ac:dyDescent="0.25">
      <c r="A459" s="3">
        <v>447</v>
      </c>
      <c r="C459" s="7">
        <v>45884</v>
      </c>
      <c r="D459" s="3">
        <v>4047</v>
      </c>
      <c r="E459" s="1">
        <v>7459.8</v>
      </c>
      <c r="F459" s="15" t="s">
        <v>2</v>
      </c>
      <c r="G459" s="1">
        <v>586.79999999999995</v>
      </c>
      <c r="H459" s="2">
        <v>45884.791666666664</v>
      </c>
      <c r="I459" s="2">
        <v>45884.990277777775</v>
      </c>
      <c r="J459" s="1">
        <f t="shared" si="11"/>
        <v>4.7666666666627862</v>
      </c>
      <c r="K459" s="1">
        <v>123.10489510499531</v>
      </c>
      <c r="L459" s="1">
        <v>33</v>
      </c>
      <c r="M459" s="1">
        <v>2.5</v>
      </c>
      <c r="N459" s="3" t="s">
        <v>5</v>
      </c>
      <c r="O459" s="3"/>
      <c r="P459" s="14" t="s">
        <v>53</v>
      </c>
      <c r="Q459" s="2">
        <v>45884.960844907408</v>
      </c>
      <c r="R459" s="2">
        <v>45885.224999999999</v>
      </c>
      <c r="S459" s="1"/>
      <c r="T459" s="1" t="s">
        <v>87</v>
      </c>
      <c r="U459" s="1">
        <v>18537</v>
      </c>
      <c r="V459" s="1">
        <v>13326.500000000002</v>
      </c>
      <c r="W459" s="1">
        <v>133.5</v>
      </c>
      <c r="X459" s="1">
        <v>393.69999999999993</v>
      </c>
      <c r="Y459" s="1">
        <v>18</v>
      </c>
    </row>
    <row r="460" spans="1:25" x14ac:dyDescent="0.25">
      <c r="A460" s="3">
        <v>448</v>
      </c>
      <c r="C460" s="7">
        <v>45885</v>
      </c>
      <c r="D460" s="3">
        <v>4057</v>
      </c>
      <c r="E460" s="1">
        <v>7477</v>
      </c>
      <c r="F460" s="15" t="s">
        <v>2</v>
      </c>
      <c r="G460" s="1">
        <v>391.2</v>
      </c>
      <c r="H460" s="2">
        <v>45885.538888888892</v>
      </c>
      <c r="I460" s="2">
        <v>45885.693749999999</v>
      </c>
      <c r="J460" s="1">
        <f t="shared" si="11"/>
        <v>3.7166666665580124</v>
      </c>
      <c r="K460" s="1">
        <v>105.255605384243</v>
      </c>
      <c r="L460" s="1">
        <v>33</v>
      </c>
      <c r="M460" s="1">
        <v>6</v>
      </c>
      <c r="N460" s="3" t="s">
        <v>5</v>
      </c>
      <c r="O460" s="3"/>
      <c r="P460" s="14"/>
      <c r="Q460" s="2">
        <v>45885.695138888892</v>
      </c>
      <c r="R460" s="2">
        <v>45885.92083333333</v>
      </c>
      <c r="S460" s="1"/>
      <c r="T460" s="1" t="s">
        <v>87</v>
      </c>
      <c r="U460" s="1">
        <v>21376</v>
      </c>
      <c r="V460" s="1">
        <v>14813.100000000002</v>
      </c>
      <c r="W460" s="1">
        <v>150.9</v>
      </c>
      <c r="X460" s="1">
        <v>443.6</v>
      </c>
      <c r="Y460" s="1">
        <v>12</v>
      </c>
    </row>
    <row r="461" spans="1:25" x14ac:dyDescent="0.25">
      <c r="A461" s="3">
        <v>449</v>
      </c>
      <c r="C461" s="7">
        <v>45887</v>
      </c>
      <c r="D461" s="3">
        <v>4067</v>
      </c>
      <c r="E461" s="1">
        <v>7496</v>
      </c>
      <c r="F461" s="3" t="s">
        <v>2</v>
      </c>
      <c r="G461" s="1">
        <v>378.6</v>
      </c>
      <c r="H461" s="2">
        <v>45887.563194444447</v>
      </c>
      <c r="I461" s="2">
        <v>45887.690972222219</v>
      </c>
      <c r="J461" s="1">
        <f t="shared" si="11"/>
        <v>3.0666666665347293</v>
      </c>
      <c r="K461" s="1">
        <v>123.45652174444191</v>
      </c>
      <c r="L461" s="1">
        <v>33</v>
      </c>
      <c r="M461" s="1">
        <v>15</v>
      </c>
      <c r="N461" s="3" t="s">
        <v>3</v>
      </c>
      <c r="O461" s="3"/>
      <c r="P461" s="14" t="s">
        <v>54</v>
      </c>
      <c r="Q461" s="2">
        <v>45887.706944444442</v>
      </c>
      <c r="R461" s="2">
        <v>45888.015277777777</v>
      </c>
      <c r="S461" s="1"/>
      <c r="T461" s="1" t="s">
        <v>87</v>
      </c>
      <c r="U461" s="1">
        <v>31701</v>
      </c>
      <c r="V461" s="1">
        <v>23157</v>
      </c>
      <c r="W461" s="1">
        <v>235.9</v>
      </c>
      <c r="X461" s="1">
        <v>651.70000000000005</v>
      </c>
      <c r="Y461" s="1">
        <v>14</v>
      </c>
    </row>
    <row r="462" spans="1:25" x14ac:dyDescent="0.25">
      <c r="A462" s="3">
        <v>450</v>
      </c>
      <c r="C462" s="7">
        <v>45888</v>
      </c>
      <c r="D462" s="3">
        <v>4075</v>
      </c>
      <c r="E462" s="1">
        <v>7510</v>
      </c>
      <c r="F462" s="3" t="s">
        <v>2</v>
      </c>
      <c r="G462" s="1">
        <v>391.2</v>
      </c>
      <c r="H462" s="12">
        <v>45888.274305555555</v>
      </c>
      <c r="I462" s="12">
        <v>45888.381944444445</v>
      </c>
      <c r="J462" s="1">
        <f t="shared" si="11"/>
        <v>2.5833333333721384</v>
      </c>
      <c r="K462" s="1">
        <v>151.4322580622414</v>
      </c>
      <c r="L462" s="1">
        <v>33</v>
      </c>
      <c r="M462" s="1">
        <v>7</v>
      </c>
      <c r="N462" s="3" t="s">
        <v>5</v>
      </c>
      <c r="O462" s="3"/>
      <c r="P462" s="14"/>
      <c r="Q462" s="12">
        <v>45888.399016203701</v>
      </c>
      <c r="R462" s="12">
        <v>45888.61210648148</v>
      </c>
      <c r="S462" s="1"/>
      <c r="T462" s="1" t="s">
        <v>87</v>
      </c>
      <c r="U462" s="1">
        <v>19156</v>
      </c>
      <c r="V462" s="1">
        <v>14123</v>
      </c>
      <c r="W462" s="1">
        <v>148</v>
      </c>
      <c r="X462" s="1">
        <v>434</v>
      </c>
      <c r="Y462" s="1">
        <v>12</v>
      </c>
    </row>
    <row r="463" spans="1:25" x14ac:dyDescent="0.25">
      <c r="A463" s="3">
        <v>451</v>
      </c>
      <c r="C463" s="7">
        <v>45888</v>
      </c>
      <c r="D463" s="3">
        <v>4083</v>
      </c>
      <c r="E463" s="1">
        <v>7525.5</v>
      </c>
      <c r="F463" s="3" t="s">
        <v>0</v>
      </c>
      <c r="G463" s="1">
        <v>480</v>
      </c>
      <c r="H463" s="12">
        <v>45888.974305555559</v>
      </c>
      <c r="I463" s="12">
        <v>45889.137499999997</v>
      </c>
      <c r="J463" s="1">
        <f t="shared" si="11"/>
        <v>3.9166666665114462</v>
      </c>
      <c r="K463" s="1">
        <v>122.55319149421858</v>
      </c>
      <c r="L463" s="1">
        <v>40</v>
      </c>
      <c r="M463" s="1">
        <v>0.9</v>
      </c>
      <c r="N463" s="3" t="s">
        <v>5</v>
      </c>
      <c r="O463" s="3"/>
      <c r="P463" s="14"/>
      <c r="Q463" s="12"/>
      <c r="R463" s="12"/>
      <c r="S463" s="1"/>
      <c r="T463" s="1" t="s">
        <v>92</v>
      </c>
      <c r="U463" s="1">
        <v>0</v>
      </c>
      <c r="V463" s="1">
        <v>0</v>
      </c>
      <c r="W463" s="1">
        <v>0</v>
      </c>
      <c r="X463" s="1">
        <v>0</v>
      </c>
      <c r="Y463" s="1">
        <v>12</v>
      </c>
    </row>
    <row r="464" spans="1:25" x14ac:dyDescent="0.25">
      <c r="A464" s="3">
        <v>452</v>
      </c>
      <c r="C464" s="7">
        <v>45889</v>
      </c>
      <c r="D464" s="3">
        <v>4101</v>
      </c>
      <c r="E464" s="1">
        <v>7558</v>
      </c>
      <c r="F464" s="3" t="s">
        <v>0</v>
      </c>
      <c r="G464" s="1">
        <v>320</v>
      </c>
      <c r="H464" s="2">
        <v>45889.625</v>
      </c>
      <c r="I464" s="2">
        <v>45889.807638888888</v>
      </c>
      <c r="J464" s="1">
        <f t="shared" si="11"/>
        <v>4.3833333333022892</v>
      </c>
      <c r="K464" s="1">
        <v>73.003802281885854</v>
      </c>
      <c r="L464" s="1">
        <v>40</v>
      </c>
      <c r="M464" s="1">
        <v>0</v>
      </c>
      <c r="N464" s="3" t="s">
        <v>5</v>
      </c>
      <c r="O464" s="3"/>
      <c r="P464" s="14"/>
      <c r="S464" s="1"/>
      <c r="T464" s="1" t="s">
        <v>92</v>
      </c>
      <c r="U464" s="1">
        <v>0</v>
      </c>
      <c r="V464" s="1">
        <v>0</v>
      </c>
      <c r="W464" s="1">
        <v>0</v>
      </c>
      <c r="X464" s="1">
        <v>0</v>
      </c>
      <c r="Y464" s="1">
        <v>8</v>
      </c>
    </row>
    <row r="465" spans="1:25" x14ac:dyDescent="0.25">
      <c r="A465" s="3">
        <v>453</v>
      </c>
      <c r="C465" s="7">
        <v>45890</v>
      </c>
      <c r="D465" s="3">
        <v>4118</v>
      </c>
      <c r="E465" s="1">
        <v>7587.6</v>
      </c>
      <c r="F465" s="3" t="s">
        <v>0</v>
      </c>
      <c r="G465" s="1">
        <v>280</v>
      </c>
      <c r="H465" s="2">
        <v>45890.569444444445</v>
      </c>
      <c r="I465" s="2">
        <v>45890.685416666667</v>
      </c>
      <c r="J465" s="1">
        <f t="shared" si="11"/>
        <v>2.7833333333255723</v>
      </c>
      <c r="K465" s="1">
        <v>100.5988023954901</v>
      </c>
      <c r="L465" s="1">
        <v>40</v>
      </c>
      <c r="M465" s="1">
        <v>0.6</v>
      </c>
      <c r="N465" s="3" t="s">
        <v>5</v>
      </c>
      <c r="O465" s="3"/>
      <c r="P465" s="14" t="s">
        <v>55</v>
      </c>
      <c r="S465" s="1"/>
      <c r="T465" s="1" t="s">
        <v>92</v>
      </c>
      <c r="U465" s="1">
        <v>0</v>
      </c>
      <c r="V465" s="1">
        <v>0</v>
      </c>
      <c r="W465" s="1">
        <v>0</v>
      </c>
      <c r="X465" s="1">
        <v>0</v>
      </c>
      <c r="Y465" s="1">
        <v>7</v>
      </c>
    </row>
    <row r="466" spans="1:25" x14ac:dyDescent="0.25">
      <c r="A466" s="3">
        <v>454</v>
      </c>
      <c r="C466" s="7">
        <v>45891</v>
      </c>
      <c r="D466" s="3">
        <v>4135</v>
      </c>
      <c r="E466" s="1">
        <v>7618.3</v>
      </c>
      <c r="F466" s="3" t="s">
        <v>0</v>
      </c>
      <c r="G466" s="1">
        <v>476</v>
      </c>
      <c r="H466" s="2">
        <v>45891.168749999997</v>
      </c>
      <c r="I466" s="2">
        <v>45891.345138888886</v>
      </c>
      <c r="J466" s="1">
        <f t="shared" si="11"/>
        <v>4.2333333333372138</v>
      </c>
      <c r="K466" s="1">
        <v>112.44094488178669</v>
      </c>
      <c r="L466" s="1">
        <v>40</v>
      </c>
      <c r="M466" s="1">
        <v>0</v>
      </c>
      <c r="N466" s="3" t="s">
        <v>5</v>
      </c>
      <c r="O466" s="3"/>
      <c r="P466" s="14"/>
      <c r="S466" s="1"/>
      <c r="T466" s="1" t="s">
        <v>92</v>
      </c>
      <c r="U466" s="1">
        <v>0</v>
      </c>
      <c r="V466" s="1">
        <v>0</v>
      </c>
      <c r="W466" s="1">
        <v>0</v>
      </c>
      <c r="X466" s="1">
        <v>0</v>
      </c>
      <c r="Y466" s="1">
        <v>12</v>
      </c>
    </row>
    <row r="467" spans="1:25" x14ac:dyDescent="0.25">
      <c r="A467" s="3">
        <v>455</v>
      </c>
      <c r="C467" s="7">
        <v>45891</v>
      </c>
      <c r="D467" s="3">
        <v>4152</v>
      </c>
      <c r="E467" s="1">
        <v>7649</v>
      </c>
      <c r="F467" s="3" t="s">
        <v>0</v>
      </c>
      <c r="G467" s="1">
        <v>360</v>
      </c>
      <c r="H467" s="2">
        <v>45891.856249999997</v>
      </c>
      <c r="I467" s="2">
        <v>45891.96875</v>
      </c>
      <c r="J467" s="1">
        <f t="shared" si="11"/>
        <v>2.7000000000698492</v>
      </c>
      <c r="K467" s="1">
        <v>133.333333329884</v>
      </c>
      <c r="L467" s="1">
        <v>40</v>
      </c>
      <c r="M467" s="1">
        <v>3.8</v>
      </c>
      <c r="N467" s="3" t="s">
        <v>5</v>
      </c>
      <c r="O467" s="3"/>
      <c r="P467" s="14"/>
      <c r="S467" s="1"/>
      <c r="T467" s="1" t="s">
        <v>92</v>
      </c>
      <c r="U467" s="1">
        <v>0</v>
      </c>
      <c r="V467" s="1">
        <v>0</v>
      </c>
      <c r="W467" s="1">
        <v>0</v>
      </c>
      <c r="X467" s="1">
        <v>0</v>
      </c>
      <c r="Y467" s="1">
        <v>9</v>
      </c>
    </row>
    <row r="468" spans="1:25" x14ac:dyDescent="0.25">
      <c r="A468" s="3">
        <v>456</v>
      </c>
      <c r="C468" s="7">
        <v>45892</v>
      </c>
      <c r="D468" s="3">
        <v>4169</v>
      </c>
      <c r="E468" s="1">
        <v>7679.6</v>
      </c>
      <c r="F468" s="3" t="s">
        <v>2</v>
      </c>
      <c r="G468" s="1">
        <v>480</v>
      </c>
      <c r="H468" s="2">
        <v>45892.509027777778</v>
      </c>
      <c r="I468" s="2">
        <v>45892.725694444445</v>
      </c>
      <c r="J468" s="1">
        <f t="shared" si="11"/>
        <v>5.2000000000116415</v>
      </c>
      <c r="K468" s="1">
        <v>92.307692307485652</v>
      </c>
      <c r="L468" s="1">
        <v>40</v>
      </c>
      <c r="M468" s="1">
        <v>365</v>
      </c>
      <c r="N468" s="3" t="s">
        <v>3</v>
      </c>
      <c r="O468" s="3"/>
      <c r="P468" s="14" t="s">
        <v>56</v>
      </c>
      <c r="Q468" s="2">
        <v>45892.72515046296</v>
      </c>
      <c r="R468" s="2">
        <v>45893.080289351848</v>
      </c>
      <c r="S468" s="1"/>
      <c r="T468" s="1" t="s">
        <v>87</v>
      </c>
      <c r="U468" s="1">
        <v>30371</v>
      </c>
      <c r="V468" s="1">
        <v>22422.499999999996</v>
      </c>
      <c r="W468" s="1">
        <v>233.10000000000002</v>
      </c>
      <c r="X468" s="1">
        <v>660.70000000000016</v>
      </c>
      <c r="Y468" s="1">
        <v>12</v>
      </c>
    </row>
    <row r="469" spans="1:25" x14ac:dyDescent="0.25">
      <c r="A469" s="3">
        <v>457</v>
      </c>
      <c r="C469" s="7">
        <v>45894</v>
      </c>
      <c r="D469" s="3">
        <v>4179</v>
      </c>
      <c r="E469" s="1">
        <v>7697</v>
      </c>
      <c r="F469" s="3" t="s">
        <v>2</v>
      </c>
      <c r="G469" s="1">
        <v>480</v>
      </c>
      <c r="H469" s="2">
        <v>45894.736111111109</v>
      </c>
      <c r="I469" s="2">
        <v>45894.923611111109</v>
      </c>
      <c r="J469" s="1">
        <f t="shared" si="11"/>
        <v>4.5</v>
      </c>
      <c r="K469" s="1">
        <v>106.66666666666667</v>
      </c>
      <c r="L469" s="1">
        <v>40</v>
      </c>
      <c r="M469" s="1">
        <v>42</v>
      </c>
      <c r="N469" s="3" t="s">
        <v>5</v>
      </c>
      <c r="O469" s="3"/>
      <c r="P469" s="14"/>
      <c r="Q469" s="2">
        <v>45894.95076388889</v>
      </c>
      <c r="R469" s="2">
        <v>45895.300613425927</v>
      </c>
      <c r="S469" s="1"/>
      <c r="T469" s="1" t="s">
        <v>87</v>
      </c>
      <c r="U469" s="1">
        <v>24436</v>
      </c>
      <c r="V469" s="1">
        <v>17506.5</v>
      </c>
      <c r="W469" s="1">
        <v>183.99999999999994</v>
      </c>
      <c r="X469" s="1">
        <v>577.20000000000005</v>
      </c>
      <c r="Y469" s="1">
        <v>12</v>
      </c>
    </row>
    <row r="470" spans="1:25" x14ac:dyDescent="0.25">
      <c r="A470" s="3">
        <v>458</v>
      </c>
      <c r="C470" s="7">
        <v>45895</v>
      </c>
      <c r="D470" s="3">
        <v>4193</v>
      </c>
      <c r="E470" s="1">
        <v>7723</v>
      </c>
      <c r="F470" s="3" t="s">
        <v>0</v>
      </c>
      <c r="G470" s="1">
        <v>360</v>
      </c>
      <c r="H470" s="2">
        <v>45895.76458333333</v>
      </c>
      <c r="I470" s="2">
        <v>45895.881944444445</v>
      </c>
      <c r="J470" s="1">
        <f t="shared" si="11"/>
        <v>2.8166666667675599</v>
      </c>
      <c r="K470" s="1">
        <v>127.81065088299577</v>
      </c>
      <c r="L470" s="1">
        <v>40</v>
      </c>
      <c r="M470" s="1">
        <v>0</v>
      </c>
      <c r="N470" s="3" t="s">
        <v>5</v>
      </c>
      <c r="O470" s="3"/>
      <c r="P470" s="14"/>
      <c r="S470" s="1"/>
      <c r="T470" s="1" t="s">
        <v>92</v>
      </c>
      <c r="U470" s="1">
        <v>0</v>
      </c>
      <c r="V470" s="1">
        <v>0</v>
      </c>
      <c r="W470" s="1">
        <v>0</v>
      </c>
      <c r="X470" s="1">
        <v>0</v>
      </c>
      <c r="Y470" s="1">
        <v>9</v>
      </c>
    </row>
    <row r="471" spans="1:25" x14ac:dyDescent="0.25">
      <c r="A471" s="3">
        <v>459</v>
      </c>
      <c r="C471" s="7">
        <v>45896</v>
      </c>
      <c r="D471" s="3">
        <v>4209</v>
      </c>
      <c r="E471" s="1">
        <v>7751</v>
      </c>
      <c r="F471" s="3" t="s">
        <v>0</v>
      </c>
      <c r="G471" s="1">
        <v>360</v>
      </c>
      <c r="H471" s="2">
        <v>45896.333333333336</v>
      </c>
      <c r="I471" s="2">
        <v>45896.42083333333</v>
      </c>
      <c r="J471" s="1">
        <f t="shared" si="11"/>
        <v>2.0999999998603016</v>
      </c>
      <c r="K471" s="1">
        <v>171.42857143997537</v>
      </c>
      <c r="L471" s="1">
        <v>40</v>
      </c>
      <c r="M471" s="1">
        <v>2.8</v>
      </c>
      <c r="N471" s="3" t="s">
        <v>5</v>
      </c>
      <c r="O471" s="3"/>
      <c r="P471" s="14"/>
      <c r="S471" s="1"/>
      <c r="T471" s="1" t="s">
        <v>92</v>
      </c>
      <c r="U471" s="1">
        <v>0</v>
      </c>
      <c r="V471" s="1">
        <v>0</v>
      </c>
      <c r="W471" s="1">
        <v>0</v>
      </c>
      <c r="X471" s="1">
        <v>0</v>
      </c>
      <c r="Y471" s="1">
        <v>9</v>
      </c>
    </row>
    <row r="472" spans="1:25" x14ac:dyDescent="0.25">
      <c r="A472" s="3">
        <v>460</v>
      </c>
      <c r="C472" s="7">
        <v>45897</v>
      </c>
      <c r="D472" s="3">
        <f>D471+17</f>
        <v>4226</v>
      </c>
      <c r="E472" s="1">
        <v>7782</v>
      </c>
      <c r="F472" s="3" t="s">
        <v>0</v>
      </c>
      <c r="G472" s="1">
        <v>360</v>
      </c>
      <c r="H472" s="2">
        <v>45897.038888888892</v>
      </c>
      <c r="I472" s="2">
        <v>45897.177083333336</v>
      </c>
      <c r="J472" s="1">
        <f t="shared" si="11"/>
        <v>3.3166666666511446</v>
      </c>
      <c r="K472" s="1">
        <v>108.54271356834718</v>
      </c>
      <c r="L472" s="1">
        <v>40</v>
      </c>
      <c r="M472" s="1">
        <v>3</v>
      </c>
      <c r="N472" s="3" t="s">
        <v>3</v>
      </c>
      <c r="O472" s="3"/>
      <c r="P472" s="14" t="s">
        <v>8</v>
      </c>
      <c r="S472" s="1"/>
      <c r="T472" s="1" t="s">
        <v>92</v>
      </c>
      <c r="U472" s="1">
        <v>0</v>
      </c>
      <c r="V472" s="1">
        <v>0</v>
      </c>
      <c r="W472" s="1">
        <v>0</v>
      </c>
      <c r="X472" s="1">
        <v>0</v>
      </c>
      <c r="Y472" s="1">
        <v>9</v>
      </c>
    </row>
    <row r="473" spans="1:25" x14ac:dyDescent="0.25">
      <c r="A473" s="3">
        <v>461</v>
      </c>
      <c r="C473" s="7">
        <v>45898</v>
      </c>
      <c r="D473" s="3">
        <v>4243</v>
      </c>
      <c r="E473" s="1">
        <v>7813</v>
      </c>
      <c r="F473" s="3" t="s">
        <v>2</v>
      </c>
      <c r="G473" s="1">
        <v>480</v>
      </c>
      <c r="H473" s="2">
        <v>45898.097222222219</v>
      </c>
      <c r="I473" s="2">
        <v>45898.336805555555</v>
      </c>
      <c r="J473" s="1">
        <f t="shared" si="11"/>
        <v>5.7500000000582077</v>
      </c>
      <c r="K473" s="1">
        <v>83.478260868720156</v>
      </c>
      <c r="L473" s="1">
        <v>40</v>
      </c>
      <c r="M473" s="1">
        <v>355</v>
      </c>
      <c r="N473" s="3" t="s">
        <v>3</v>
      </c>
      <c r="O473" s="3"/>
      <c r="P473" s="14" t="s">
        <v>56</v>
      </c>
      <c r="Q473" s="2">
        <v>45898.352083333331</v>
      </c>
      <c r="R473" s="2">
        <v>45898.82708333333</v>
      </c>
      <c r="S473" s="1"/>
      <c r="T473" s="1" t="s">
        <v>87</v>
      </c>
      <c r="U473" s="1">
        <v>39817</v>
      </c>
      <c r="V473" s="1">
        <v>32354.5</v>
      </c>
      <c r="W473" s="1">
        <v>330.5</v>
      </c>
      <c r="X473" s="1">
        <v>960.5</v>
      </c>
      <c r="Y473" s="1">
        <v>12</v>
      </c>
    </row>
    <row r="474" spans="1:25" x14ac:dyDescent="0.25">
      <c r="A474" s="3">
        <v>462</v>
      </c>
      <c r="C474" s="7">
        <v>45899</v>
      </c>
      <c r="D474" s="3">
        <v>4247</v>
      </c>
      <c r="E474" s="1">
        <v>7820</v>
      </c>
      <c r="F474" s="3" t="s">
        <v>2</v>
      </c>
      <c r="G474" s="1">
        <v>391.2</v>
      </c>
      <c r="H474" s="2">
        <v>45898.951388888891</v>
      </c>
      <c r="I474" s="2">
        <v>45899.145833333336</v>
      </c>
      <c r="J474" s="1">
        <f t="shared" si="11"/>
        <v>4.6666666666860692</v>
      </c>
      <c r="K474" s="1">
        <v>83.828571428222887</v>
      </c>
      <c r="L474" s="1">
        <v>32.6</v>
      </c>
      <c r="M474" s="1">
        <v>2.5</v>
      </c>
      <c r="N474" s="3" t="s">
        <v>3</v>
      </c>
      <c r="O474" s="3">
        <v>1</v>
      </c>
      <c r="P474" s="14" t="s">
        <v>7</v>
      </c>
      <c r="Q474" s="2">
        <v>45899.138194444444</v>
      </c>
      <c r="R474" s="2">
        <v>45899.369328703702</v>
      </c>
      <c r="S474" s="1"/>
      <c r="T474" s="1" t="s">
        <v>87</v>
      </c>
      <c r="U474" s="1">
        <v>19740</v>
      </c>
      <c r="V474" s="1">
        <v>13654.300000000001</v>
      </c>
      <c r="W474" s="1">
        <v>143.1</v>
      </c>
      <c r="X474" s="1">
        <v>378.49999999999989</v>
      </c>
      <c r="Y474" s="1">
        <v>12</v>
      </c>
    </row>
    <row r="475" spans="1:25" x14ac:dyDescent="0.25">
      <c r="A475" s="3">
        <v>463</v>
      </c>
      <c r="C475" s="7">
        <v>45899</v>
      </c>
      <c r="D475" s="3">
        <v>4257</v>
      </c>
      <c r="E475" s="1">
        <v>7838</v>
      </c>
      <c r="F475" s="3" t="s">
        <v>0</v>
      </c>
      <c r="G475" s="1">
        <v>480</v>
      </c>
      <c r="H475" s="2">
        <v>45899.895833333336</v>
      </c>
      <c r="I475" s="2">
        <v>45900.072916666664</v>
      </c>
      <c r="J475" s="1">
        <f t="shared" si="11"/>
        <v>4.2499999998835847</v>
      </c>
      <c r="K475" s="1">
        <v>112.94117647368191</v>
      </c>
      <c r="L475" s="1">
        <v>40</v>
      </c>
      <c r="M475" s="1">
        <v>0</v>
      </c>
      <c r="N475" s="3" t="s">
        <v>5</v>
      </c>
      <c r="O475" s="3"/>
      <c r="P475" s="14"/>
      <c r="S475" s="1"/>
      <c r="T475" s="1" t="s">
        <v>92</v>
      </c>
      <c r="U475" s="1">
        <v>0</v>
      </c>
      <c r="V475" s="1">
        <v>0</v>
      </c>
      <c r="W475" s="1">
        <v>0</v>
      </c>
      <c r="X475" s="1">
        <v>0</v>
      </c>
      <c r="Y475" s="1">
        <v>12</v>
      </c>
    </row>
    <row r="476" spans="1:25" x14ac:dyDescent="0.25">
      <c r="A476" s="3">
        <v>464</v>
      </c>
      <c r="C476" s="7">
        <v>45901</v>
      </c>
      <c r="D476" s="3">
        <v>4274</v>
      </c>
      <c r="E476" s="1">
        <v>7868.8</v>
      </c>
      <c r="F476" s="3" t="s">
        <v>0</v>
      </c>
      <c r="G476" s="1">
        <v>480</v>
      </c>
      <c r="H476" s="2">
        <v>45901.916666666664</v>
      </c>
      <c r="I476" s="2">
        <v>45902.121527777781</v>
      </c>
      <c r="J476" s="1">
        <f t="shared" si="11"/>
        <v>4.9166666668024845</v>
      </c>
      <c r="K476" s="1">
        <v>97.627118641370942</v>
      </c>
      <c r="L476" s="1">
        <v>40</v>
      </c>
      <c r="M476" s="1">
        <v>0</v>
      </c>
      <c r="N476" s="3" t="s">
        <v>5</v>
      </c>
      <c r="O476" s="3"/>
      <c r="P476" s="14"/>
      <c r="S476" s="1"/>
      <c r="T476" s="1" t="s">
        <v>92</v>
      </c>
      <c r="U476" s="1">
        <v>0</v>
      </c>
      <c r="V476" s="1">
        <v>0</v>
      </c>
      <c r="W476" s="1">
        <v>0</v>
      </c>
      <c r="X476" s="1">
        <v>0</v>
      </c>
      <c r="Y476" s="1">
        <v>12</v>
      </c>
    </row>
    <row r="477" spans="1:25" x14ac:dyDescent="0.25">
      <c r="A477" s="3">
        <v>465</v>
      </c>
      <c r="C477" s="7">
        <v>45903</v>
      </c>
      <c r="D477" s="3">
        <v>4291</v>
      </c>
      <c r="E477" s="1">
        <v>7899.2</v>
      </c>
      <c r="F477" s="3" t="s">
        <v>0</v>
      </c>
      <c r="G477" s="1">
        <v>480</v>
      </c>
      <c r="H477" s="2">
        <v>45903.548611111109</v>
      </c>
      <c r="I477" s="2">
        <v>45903.708333333336</v>
      </c>
      <c r="J477" s="1">
        <f t="shared" si="11"/>
        <v>3.8333333334303461</v>
      </c>
      <c r="K477" s="1">
        <v>125.21739130117886</v>
      </c>
      <c r="L477" s="1">
        <v>40</v>
      </c>
      <c r="M477" s="1">
        <v>46</v>
      </c>
      <c r="N477" s="3" t="s">
        <v>5</v>
      </c>
      <c r="O477" s="3"/>
      <c r="P477" s="14"/>
      <c r="Q477" s="2">
        <v>45903.724120370367</v>
      </c>
      <c r="R477" s="2">
        <v>45904.221574074072</v>
      </c>
      <c r="S477" s="1"/>
      <c r="T477" s="1" t="s">
        <v>87</v>
      </c>
      <c r="U477" s="1">
        <v>51374</v>
      </c>
      <c r="V477" s="1">
        <v>37514</v>
      </c>
      <c r="W477" s="1">
        <v>393.8</v>
      </c>
      <c r="X477" s="1">
        <v>1818.8</v>
      </c>
      <c r="Y477" s="1">
        <v>12</v>
      </c>
    </row>
    <row r="478" spans="1:25" x14ac:dyDescent="0.25">
      <c r="A478" s="3">
        <v>466</v>
      </c>
      <c r="C478" s="7">
        <v>45904</v>
      </c>
      <c r="D478" s="3">
        <v>4305</v>
      </c>
      <c r="E478" s="1">
        <v>7925.29</v>
      </c>
      <c r="F478" s="3" t="s">
        <v>2</v>
      </c>
      <c r="G478" s="1">
        <v>480</v>
      </c>
      <c r="H478" s="2">
        <v>45904.774305555555</v>
      </c>
      <c r="I478" s="2">
        <v>45904.944444444445</v>
      </c>
      <c r="J478" s="1">
        <f t="shared" si="11"/>
        <v>4.0833333333721384</v>
      </c>
      <c r="K478" s="1">
        <v>117.55102040704614</v>
      </c>
      <c r="L478" s="1">
        <v>40</v>
      </c>
      <c r="M478" s="1">
        <v>21</v>
      </c>
      <c r="N478" s="3" t="s">
        <v>5</v>
      </c>
      <c r="O478" s="3"/>
      <c r="P478" s="14"/>
      <c r="Q478" s="2">
        <v>45904.971180555556</v>
      </c>
      <c r="R478" s="2">
        <v>45905.359039351853</v>
      </c>
      <c r="S478" s="1"/>
      <c r="T478" s="1" t="s">
        <v>87</v>
      </c>
      <c r="U478" s="1">
        <v>34077</v>
      </c>
      <c r="V478" s="1">
        <v>27418.799999999999</v>
      </c>
      <c r="W478" s="1">
        <v>302</v>
      </c>
      <c r="X478" s="1">
        <v>887.8</v>
      </c>
      <c r="Y478" s="1">
        <v>12</v>
      </c>
    </row>
    <row r="479" spans="1:25" x14ac:dyDescent="0.25">
      <c r="A479" s="3">
        <v>467</v>
      </c>
      <c r="C479" s="7">
        <v>45906</v>
      </c>
      <c r="D479" s="3">
        <v>4319</v>
      </c>
      <c r="E479" s="1">
        <v>7949.66</v>
      </c>
      <c r="F479" s="3" t="s">
        <v>2</v>
      </c>
      <c r="G479" s="1">
        <v>480</v>
      </c>
      <c r="H479" s="2">
        <v>45906.009027777778</v>
      </c>
      <c r="I479" s="2">
        <v>45906.201388888891</v>
      </c>
      <c r="J479" s="1">
        <f t="shared" si="11"/>
        <v>4.6166666666977108</v>
      </c>
      <c r="K479" s="1">
        <v>103.97111913287488</v>
      </c>
      <c r="L479" s="1">
        <v>40</v>
      </c>
      <c r="M479" s="1">
        <v>37</v>
      </c>
      <c r="N479" s="3" t="s">
        <v>5</v>
      </c>
      <c r="O479" s="3"/>
      <c r="P479" s="14"/>
      <c r="Q479" s="2">
        <v>45906.195787037039</v>
      </c>
      <c r="R479" s="2">
        <v>45906.393796296295</v>
      </c>
      <c r="S479" s="1"/>
      <c r="T479" s="1" t="s">
        <v>87</v>
      </c>
      <c r="U479" s="1">
        <v>15753</v>
      </c>
      <c r="V479" s="1">
        <v>12468</v>
      </c>
      <c r="W479" s="1">
        <v>130.5</v>
      </c>
      <c r="X479" s="1">
        <v>312.10000000000002</v>
      </c>
      <c r="Y479" s="1">
        <v>12</v>
      </c>
    </row>
    <row r="480" spans="1:25" x14ac:dyDescent="0.25">
      <c r="A480" s="3">
        <v>468</v>
      </c>
      <c r="C480" s="7">
        <v>45906</v>
      </c>
      <c r="D480" s="3">
        <v>4333</v>
      </c>
      <c r="E480" s="1">
        <v>7974.9</v>
      </c>
      <c r="F480" s="3" t="s">
        <v>0</v>
      </c>
      <c r="G480" s="1">
        <v>480</v>
      </c>
      <c r="H480" s="2">
        <v>45906.815972222219</v>
      </c>
      <c r="I480" s="2">
        <v>45906.935416666667</v>
      </c>
      <c r="J480" s="1">
        <f t="shared" si="11"/>
        <v>2.8666666667559184</v>
      </c>
      <c r="K480" s="1">
        <v>167.4418604599031</v>
      </c>
      <c r="L480" s="1">
        <v>40</v>
      </c>
      <c r="M480" s="1">
        <v>2</v>
      </c>
      <c r="N480" s="3" t="s">
        <v>3</v>
      </c>
      <c r="O480" s="3"/>
      <c r="P480" s="14"/>
      <c r="S480" s="1"/>
      <c r="T480" s="1" t="s">
        <v>92</v>
      </c>
      <c r="U480" s="1">
        <v>0</v>
      </c>
      <c r="V480" s="1">
        <v>0</v>
      </c>
      <c r="W480" s="1">
        <v>0</v>
      </c>
      <c r="X480" s="1">
        <v>0</v>
      </c>
      <c r="Y480" s="1">
        <v>12</v>
      </c>
    </row>
    <row r="481" spans="1:25" x14ac:dyDescent="0.25">
      <c r="A481" s="3">
        <v>469</v>
      </c>
      <c r="C481" s="7">
        <v>45909</v>
      </c>
      <c r="D481" s="3">
        <v>4350</v>
      </c>
      <c r="E481" s="1">
        <v>8005.48</v>
      </c>
      <c r="F481" s="3" t="s">
        <v>2</v>
      </c>
      <c r="G481" s="1">
        <v>480</v>
      </c>
      <c r="H481" s="2">
        <v>45909.033333333333</v>
      </c>
      <c r="I481" s="2">
        <v>45909.198611111111</v>
      </c>
      <c r="J481" s="1">
        <f t="shared" si="11"/>
        <v>3.9666666666744277</v>
      </c>
      <c r="K481" s="1">
        <v>121.00840336110778</v>
      </c>
      <c r="L481" s="1">
        <v>40</v>
      </c>
      <c r="M481" s="1">
        <v>42</v>
      </c>
      <c r="N481" s="3" t="s">
        <v>3</v>
      </c>
      <c r="O481" s="3"/>
      <c r="P481" s="14" t="s">
        <v>56</v>
      </c>
      <c r="Q481" s="2">
        <v>45909.20208333333</v>
      </c>
      <c r="R481" s="2">
        <v>45909.588888888888</v>
      </c>
      <c r="S481" s="1"/>
      <c r="T481" s="1" t="s">
        <v>87</v>
      </c>
      <c r="U481" s="1">
        <v>35757</v>
      </c>
      <c r="V481" s="1">
        <v>26765</v>
      </c>
      <c r="W481" s="1">
        <v>284.10000000000002</v>
      </c>
      <c r="X481" s="1">
        <v>833</v>
      </c>
      <c r="Y481" s="1">
        <v>12</v>
      </c>
    </row>
    <row r="482" spans="1:25" x14ac:dyDescent="0.25">
      <c r="A482" s="3">
        <v>470</v>
      </c>
      <c r="C482" s="7">
        <v>45910</v>
      </c>
      <c r="D482" s="3">
        <v>4364</v>
      </c>
      <c r="E482" s="1">
        <v>8030.5</v>
      </c>
      <c r="F482" s="3" t="s">
        <v>0</v>
      </c>
      <c r="G482" s="1">
        <v>480</v>
      </c>
      <c r="H482" s="2">
        <v>45910.034722222219</v>
      </c>
      <c r="I482" s="2">
        <v>45910.175000000003</v>
      </c>
      <c r="J482" s="1">
        <f t="shared" si="11"/>
        <v>3.3666666668141261</v>
      </c>
      <c r="K482" s="1">
        <v>142.57425741949785</v>
      </c>
      <c r="L482" s="1">
        <v>40</v>
      </c>
      <c r="M482" s="1">
        <v>1</v>
      </c>
      <c r="N482" s="3" t="s">
        <v>5</v>
      </c>
      <c r="O482" s="3"/>
      <c r="P482" s="14" t="s">
        <v>57</v>
      </c>
      <c r="S482" s="1"/>
      <c r="T482" s="1" t="s">
        <v>92</v>
      </c>
      <c r="U482" s="1">
        <v>0</v>
      </c>
      <c r="V482" s="1">
        <v>0</v>
      </c>
      <c r="W482" s="1">
        <v>0</v>
      </c>
      <c r="X482" s="1">
        <v>0</v>
      </c>
      <c r="Y482" s="1">
        <v>12</v>
      </c>
    </row>
    <row r="483" spans="1:25" x14ac:dyDescent="0.25">
      <c r="A483" s="3">
        <v>471</v>
      </c>
      <c r="C483" s="7">
        <v>45910</v>
      </c>
      <c r="D483" s="3">
        <v>4381</v>
      </c>
      <c r="E483" s="1">
        <v>8061.3</v>
      </c>
      <c r="F483" s="3" t="s">
        <v>0</v>
      </c>
      <c r="G483" s="1">
        <v>480</v>
      </c>
      <c r="H483" s="2">
        <v>45910.713194444441</v>
      </c>
      <c r="I483" s="2">
        <v>45910.870138888888</v>
      </c>
      <c r="J483" s="1">
        <f t="shared" si="11"/>
        <v>3.7666666667209938</v>
      </c>
      <c r="K483" s="1">
        <v>127.43362831674608</v>
      </c>
      <c r="L483" s="1">
        <v>40</v>
      </c>
      <c r="M483" s="1">
        <v>5</v>
      </c>
      <c r="N483" s="3" t="s">
        <v>5</v>
      </c>
      <c r="O483" s="3"/>
      <c r="P483" s="14"/>
      <c r="S483" s="1"/>
      <c r="T483" s="1" t="s">
        <v>92</v>
      </c>
      <c r="U483" s="1">
        <v>0</v>
      </c>
      <c r="V483" s="1">
        <v>0</v>
      </c>
      <c r="W483" s="1">
        <v>0</v>
      </c>
      <c r="X483" s="1">
        <v>0</v>
      </c>
      <c r="Y483" s="1">
        <v>12</v>
      </c>
    </row>
    <row r="484" spans="1:25" x14ac:dyDescent="0.25">
      <c r="A484" s="3">
        <v>472</v>
      </c>
      <c r="C484" s="7">
        <v>45911</v>
      </c>
      <c r="D484" s="3">
        <v>4397</v>
      </c>
      <c r="E484" s="1">
        <v>8090.8</v>
      </c>
      <c r="F484" s="3" t="s">
        <v>0</v>
      </c>
      <c r="G484" s="1">
        <v>480</v>
      </c>
      <c r="H484" s="2">
        <v>45911.538194444445</v>
      </c>
      <c r="I484" s="2">
        <v>45911.767361111109</v>
      </c>
      <c r="J484" s="1">
        <f t="shared" si="11"/>
        <v>5.4999999999417923</v>
      </c>
      <c r="K484" s="1">
        <v>87.272727273650901</v>
      </c>
      <c r="L484" s="1">
        <v>40</v>
      </c>
      <c r="M484" s="1">
        <v>4</v>
      </c>
      <c r="N484" s="3" t="s">
        <v>5</v>
      </c>
      <c r="O484" s="3"/>
      <c r="P484" s="14" t="s">
        <v>58</v>
      </c>
      <c r="S484" s="1"/>
      <c r="T484" s="1" t="s">
        <v>92</v>
      </c>
      <c r="U484" s="1">
        <v>0</v>
      </c>
      <c r="V484" s="1">
        <v>0</v>
      </c>
      <c r="W484" s="1">
        <v>0</v>
      </c>
      <c r="X484" s="1">
        <v>0</v>
      </c>
      <c r="Y484" s="1">
        <v>12</v>
      </c>
    </row>
    <row r="485" spans="1:25" x14ac:dyDescent="0.25">
      <c r="A485" s="3">
        <v>473</v>
      </c>
      <c r="C485" s="7">
        <v>45912</v>
      </c>
      <c r="D485" s="3">
        <v>4415</v>
      </c>
      <c r="E485" s="1">
        <v>8121.5</v>
      </c>
      <c r="F485" s="3" t="s">
        <v>0</v>
      </c>
      <c r="G485" s="1">
        <v>440</v>
      </c>
      <c r="H485" s="2">
        <v>45912.243750000001</v>
      </c>
      <c r="I485" s="2">
        <v>45912.502083333333</v>
      </c>
      <c r="J485" s="1">
        <f t="shared" si="11"/>
        <v>6.1999999999534339</v>
      </c>
      <c r="K485" s="1">
        <v>70.967741936016893</v>
      </c>
      <c r="L485" s="1">
        <v>40</v>
      </c>
      <c r="M485" s="1">
        <v>28</v>
      </c>
      <c r="N485" s="3" t="s">
        <v>3</v>
      </c>
      <c r="O485" s="3"/>
      <c r="P485" s="14" t="s">
        <v>56</v>
      </c>
      <c r="Q485" s="2">
        <v>45912.529166666667</v>
      </c>
      <c r="R485" s="2">
        <v>45912.974305555559</v>
      </c>
      <c r="S485" s="1"/>
      <c r="T485" s="1" t="s">
        <v>87</v>
      </c>
      <c r="U485" s="1">
        <v>33742</v>
      </c>
      <c r="V485" s="1">
        <v>26390</v>
      </c>
      <c r="W485" s="1">
        <v>282</v>
      </c>
      <c r="X485" s="1">
        <v>829</v>
      </c>
      <c r="Y485" s="1">
        <v>12</v>
      </c>
    </row>
    <row r="486" spans="1:25" x14ac:dyDescent="0.25">
      <c r="A486" s="3">
        <v>474</v>
      </c>
      <c r="C486" s="7">
        <v>45913</v>
      </c>
      <c r="D486" s="3">
        <v>4429</v>
      </c>
      <c r="E486" s="1">
        <v>8147.7</v>
      </c>
      <c r="F486" s="3" t="s">
        <v>0</v>
      </c>
      <c r="G486" s="1">
        <v>479.5</v>
      </c>
      <c r="H486" s="2">
        <v>45913.381944444445</v>
      </c>
      <c r="I486" s="2">
        <v>45913.538194444445</v>
      </c>
      <c r="J486" s="1">
        <f t="shared" si="11"/>
        <v>3.75</v>
      </c>
      <c r="K486" s="1">
        <v>127.86666666666666</v>
      </c>
      <c r="L486" s="1">
        <v>40</v>
      </c>
      <c r="M486" s="1">
        <v>0</v>
      </c>
      <c r="N486" s="3" t="s">
        <v>5</v>
      </c>
      <c r="O486" s="3"/>
      <c r="P486" s="14"/>
      <c r="S486" s="1"/>
      <c r="T486" s="1" t="s">
        <v>92</v>
      </c>
      <c r="U486" s="1">
        <v>0</v>
      </c>
      <c r="V486" s="1">
        <v>0</v>
      </c>
      <c r="W486" s="1">
        <v>0</v>
      </c>
      <c r="X486" s="1">
        <v>0</v>
      </c>
      <c r="Y486" s="1">
        <v>12</v>
      </c>
    </row>
    <row r="487" spans="1:25" x14ac:dyDescent="0.25">
      <c r="A487" s="3">
        <v>475</v>
      </c>
      <c r="C487" s="7">
        <v>45915</v>
      </c>
      <c r="D487" s="3">
        <v>4446</v>
      </c>
      <c r="E487" s="1">
        <v>8178.3</v>
      </c>
      <c r="F487" s="3" t="s">
        <v>0</v>
      </c>
      <c r="G487" s="1">
        <v>473.88</v>
      </c>
      <c r="H487" s="2">
        <v>45915.743055555555</v>
      </c>
      <c r="I487" s="2">
        <v>45915.923611111109</v>
      </c>
      <c r="J487" s="1">
        <f t="shared" si="11"/>
        <v>4.3333333333139308</v>
      </c>
      <c r="K487" s="1">
        <v>109.35692307741272</v>
      </c>
      <c r="L487" s="1">
        <v>40</v>
      </c>
      <c r="M487" s="1">
        <v>91.5</v>
      </c>
      <c r="N487" s="3" t="s">
        <v>3</v>
      </c>
      <c r="O487" s="3"/>
      <c r="P487" s="14" t="s">
        <v>56</v>
      </c>
      <c r="Q487" s="2">
        <v>45915.940925925926</v>
      </c>
      <c r="R487" s="2">
        <v>45916.35</v>
      </c>
      <c r="S487" s="1"/>
      <c r="T487" s="1" t="s">
        <v>87</v>
      </c>
      <c r="U487" s="1">
        <v>32797</v>
      </c>
      <c r="V487" s="1">
        <v>25302.2</v>
      </c>
      <c r="W487" s="1">
        <v>259.60000000000002</v>
      </c>
      <c r="X487" s="1">
        <v>763.1</v>
      </c>
      <c r="Y487" s="1">
        <v>12</v>
      </c>
    </row>
    <row r="488" spans="1:25" x14ac:dyDescent="0.25">
      <c r="A488" s="3">
        <v>476</v>
      </c>
      <c r="C488" s="7">
        <v>45916</v>
      </c>
      <c r="D488" s="3">
        <v>4459</v>
      </c>
      <c r="E488" s="1">
        <v>8200.6</v>
      </c>
      <c r="F488" s="3" t="s">
        <v>0</v>
      </c>
      <c r="G488" s="1">
        <v>480</v>
      </c>
      <c r="H488" s="2">
        <v>45916.96597222222</v>
      </c>
      <c r="I488" s="2">
        <v>45917.181250000001</v>
      </c>
      <c r="J488" s="1">
        <f t="shared" si="11"/>
        <v>5.1666666667442769</v>
      </c>
      <c r="K488" s="1">
        <v>92.903225805056081</v>
      </c>
      <c r="L488" s="1">
        <v>40</v>
      </c>
      <c r="M488" s="1">
        <v>2.8</v>
      </c>
      <c r="N488" s="3" t="s">
        <v>3</v>
      </c>
      <c r="O488" s="3"/>
      <c r="P488" s="14"/>
      <c r="S488" s="1"/>
      <c r="T488" s="1" t="s">
        <v>92</v>
      </c>
      <c r="U488" s="1">
        <v>0</v>
      </c>
      <c r="V488" s="1">
        <v>0</v>
      </c>
      <c r="W488" s="1">
        <v>0</v>
      </c>
      <c r="X488" s="1">
        <v>0</v>
      </c>
      <c r="Y488" s="1">
        <v>12</v>
      </c>
    </row>
    <row r="489" spans="1:25" x14ac:dyDescent="0.25">
      <c r="A489" s="3">
        <v>477</v>
      </c>
      <c r="C489" s="7">
        <v>45917</v>
      </c>
      <c r="D489" s="3">
        <v>4476</v>
      </c>
      <c r="E489" s="1">
        <v>8232.31</v>
      </c>
      <c r="F489" s="3" t="s">
        <v>2</v>
      </c>
      <c r="G489" s="1">
        <v>480</v>
      </c>
      <c r="H489" s="2">
        <v>45917.748611111114</v>
      </c>
      <c r="I489" s="2">
        <v>45917.929861111108</v>
      </c>
      <c r="J489" s="1">
        <f t="shared" si="11"/>
        <v>4.3499999998603016</v>
      </c>
      <c r="K489" s="1">
        <v>110.34482758975058</v>
      </c>
      <c r="L489" s="1">
        <v>40</v>
      </c>
      <c r="M489" s="1">
        <v>42</v>
      </c>
      <c r="N489" s="3" t="s">
        <v>5</v>
      </c>
      <c r="O489" s="3"/>
      <c r="P489" s="14" t="s">
        <v>59</v>
      </c>
      <c r="Q489" s="2">
        <v>45917.938750000001</v>
      </c>
      <c r="R489" s="2">
        <v>45918.460844907408</v>
      </c>
      <c r="S489" s="1"/>
      <c r="T489" s="1" t="s">
        <v>87</v>
      </c>
      <c r="U489" s="1">
        <v>38680</v>
      </c>
      <c r="V489" s="1">
        <v>32180.7</v>
      </c>
      <c r="W489" s="1">
        <v>328</v>
      </c>
      <c r="X489" s="1">
        <v>963</v>
      </c>
      <c r="Y489" s="1">
        <v>12</v>
      </c>
    </row>
    <row r="490" spans="1:25" x14ac:dyDescent="0.25">
      <c r="A490" s="3">
        <v>478</v>
      </c>
      <c r="C490" s="7">
        <v>45918</v>
      </c>
      <c r="D490" s="3">
        <v>4490</v>
      </c>
      <c r="E490" s="3">
        <v>8257.2000000000007</v>
      </c>
      <c r="F490" s="3" t="s">
        <v>2</v>
      </c>
      <c r="G490" s="1">
        <v>480</v>
      </c>
      <c r="H490" s="2">
        <v>45918.895833333336</v>
      </c>
      <c r="I490" s="2">
        <v>45919.032638888886</v>
      </c>
      <c r="J490" s="1">
        <f t="shared" si="11"/>
        <v>3.283333333209157</v>
      </c>
      <c r="K490" s="1">
        <v>146.19289340654427</v>
      </c>
      <c r="L490" s="1">
        <v>40</v>
      </c>
      <c r="M490" s="1">
        <v>46.4</v>
      </c>
      <c r="N490" s="3" t="s">
        <v>3</v>
      </c>
      <c r="O490" s="3"/>
      <c r="P490" s="14" t="s">
        <v>56</v>
      </c>
      <c r="Q490" s="2">
        <v>45919.039884259262</v>
      </c>
      <c r="R490" s="2">
        <v>45919.294756944444</v>
      </c>
      <c r="S490" s="1"/>
      <c r="T490" s="1" t="s">
        <v>87</v>
      </c>
      <c r="U490" s="1">
        <v>19402</v>
      </c>
      <c r="V490" s="1">
        <v>14663.7</v>
      </c>
      <c r="W490" s="1">
        <v>147.80000000000001</v>
      </c>
      <c r="X490" s="1">
        <v>433.6</v>
      </c>
      <c r="Y490" s="1">
        <v>12</v>
      </c>
    </row>
    <row r="491" spans="1:25" x14ac:dyDescent="0.25">
      <c r="A491" s="3">
        <v>479</v>
      </c>
      <c r="C491" s="7">
        <v>45919</v>
      </c>
      <c r="D491" s="3">
        <v>4503</v>
      </c>
      <c r="E491" s="3">
        <v>8280</v>
      </c>
      <c r="F491" s="3" t="s">
        <v>2</v>
      </c>
      <c r="G491" s="1">
        <v>480</v>
      </c>
      <c r="H491" s="2">
        <v>45919.746527777781</v>
      </c>
      <c r="I491" s="2">
        <v>45919.909722222219</v>
      </c>
      <c r="J491" s="1">
        <f t="shared" si="11"/>
        <v>3.9166666665114462</v>
      </c>
      <c r="K491" s="1">
        <v>122.55319149421858</v>
      </c>
      <c r="L491" s="1">
        <v>40</v>
      </c>
      <c r="M491" s="1">
        <v>73</v>
      </c>
      <c r="N491" s="3" t="s">
        <v>5</v>
      </c>
      <c r="O491" s="3"/>
      <c r="P491" s="14"/>
      <c r="Q491" s="2">
        <v>45919.918749999997</v>
      </c>
      <c r="R491" s="2">
        <v>45920.145833333336</v>
      </c>
      <c r="S491" s="1"/>
      <c r="T491" s="1" t="s">
        <v>87</v>
      </c>
      <c r="U491" s="1">
        <v>22344</v>
      </c>
      <c r="V491" s="1">
        <v>17235.8</v>
      </c>
      <c r="W491" s="1" t="s">
        <v>93</v>
      </c>
      <c r="X491" s="1" t="s">
        <v>94</v>
      </c>
      <c r="Y491" s="1">
        <v>11</v>
      </c>
    </row>
    <row r="492" spans="1:25" x14ac:dyDescent="0.25">
      <c r="A492" s="3">
        <v>480</v>
      </c>
      <c r="C492" s="7">
        <v>45920</v>
      </c>
      <c r="D492" s="3">
        <v>4517</v>
      </c>
      <c r="E492" s="3">
        <v>8305.2000000000007</v>
      </c>
      <c r="F492" s="3" t="s">
        <v>2</v>
      </c>
      <c r="G492" s="1">
        <v>480</v>
      </c>
      <c r="H492" s="2">
        <v>45920.54583333333</v>
      </c>
      <c r="I492" s="2">
        <v>45920.706944444442</v>
      </c>
      <c r="J492" s="1">
        <f t="shared" si="11"/>
        <v>3.8666666666977108</v>
      </c>
      <c r="K492" s="1">
        <v>124.1379310334861</v>
      </c>
      <c r="L492" s="1">
        <v>40</v>
      </c>
      <c r="M492" s="1">
        <v>53.5</v>
      </c>
      <c r="N492" s="3" t="s">
        <v>3</v>
      </c>
      <c r="O492" s="3"/>
      <c r="P492" s="14" t="s">
        <v>7</v>
      </c>
      <c r="Q492" s="2">
        <v>45920.695833333331</v>
      </c>
      <c r="R492" s="2">
        <v>45920.902083333334</v>
      </c>
      <c r="S492" s="1"/>
      <c r="T492" s="1" t="s">
        <v>95</v>
      </c>
      <c r="U492" s="1">
        <v>21732</v>
      </c>
      <c r="V492" s="1">
        <v>16420</v>
      </c>
      <c r="W492" s="1">
        <v>166</v>
      </c>
      <c r="X492" s="1">
        <v>485</v>
      </c>
      <c r="Y492" s="1">
        <v>12</v>
      </c>
    </row>
    <row r="493" spans="1:25" x14ac:dyDescent="0.25">
      <c r="A493" s="3">
        <v>481</v>
      </c>
      <c r="C493" s="7">
        <v>45923</v>
      </c>
      <c r="D493" s="3">
        <v>4531</v>
      </c>
      <c r="E493" s="1">
        <v>8331.34</v>
      </c>
      <c r="F493" s="3" t="s">
        <v>2</v>
      </c>
      <c r="G493" s="1">
        <v>480</v>
      </c>
      <c r="H493" s="2">
        <v>45923.072916666664</v>
      </c>
      <c r="I493" s="2">
        <v>45923.25</v>
      </c>
      <c r="J493" s="1">
        <f t="shared" si="11"/>
        <v>4.2500000000582077</v>
      </c>
      <c r="K493" s="1">
        <v>112.94117646904141</v>
      </c>
      <c r="L493" s="1">
        <v>40</v>
      </c>
      <c r="M493" s="1">
        <v>61</v>
      </c>
      <c r="N493" s="3" t="s">
        <v>60</v>
      </c>
      <c r="O493" s="3"/>
      <c r="P493" s="14" t="s">
        <v>61</v>
      </c>
      <c r="Q493" s="2">
        <v>45923.253472222219</v>
      </c>
      <c r="R493" s="2">
        <v>45923.527754629627</v>
      </c>
      <c r="S493" s="1"/>
      <c r="T493" s="1" t="s">
        <v>87</v>
      </c>
      <c r="U493" s="1">
        <v>24374</v>
      </c>
      <c r="V493" s="1">
        <v>18590.900000000001</v>
      </c>
      <c r="W493" s="1">
        <v>187.4</v>
      </c>
      <c r="X493" s="1">
        <v>552</v>
      </c>
      <c r="Y493" s="1">
        <v>12</v>
      </c>
    </row>
    <row r="494" spans="1:25" x14ac:dyDescent="0.25">
      <c r="A494" s="3">
        <v>482</v>
      </c>
      <c r="C494" s="7">
        <v>45923</v>
      </c>
      <c r="D494" s="3">
        <v>4543</v>
      </c>
      <c r="E494" s="1">
        <v>8352</v>
      </c>
      <c r="F494" s="3" t="s">
        <v>0</v>
      </c>
      <c r="G494" s="1">
        <v>441</v>
      </c>
      <c r="H494" s="2">
        <v>45923.979166666664</v>
      </c>
      <c r="I494" s="2">
        <v>45924.173611111109</v>
      </c>
      <c r="J494" s="1">
        <f t="shared" si="11"/>
        <v>4.6666666666860692</v>
      </c>
      <c r="K494" s="1">
        <v>94.499999999607098</v>
      </c>
      <c r="L494" s="1">
        <v>40</v>
      </c>
      <c r="M494" s="1">
        <v>61</v>
      </c>
      <c r="N494" s="3" t="s">
        <v>3</v>
      </c>
      <c r="O494" s="3"/>
      <c r="P494" s="14" t="s">
        <v>33</v>
      </c>
      <c r="Q494" s="2">
        <v>45924.126446759263</v>
      </c>
      <c r="R494" s="2">
        <v>45924.491909722223</v>
      </c>
      <c r="S494" s="1"/>
      <c r="T494" s="1" t="s">
        <v>96</v>
      </c>
      <c r="U494" s="1">
        <v>32216</v>
      </c>
      <c r="V494" s="1">
        <v>24386.2</v>
      </c>
      <c r="W494" s="1">
        <v>247.5</v>
      </c>
      <c r="X494" s="1">
        <v>586.4</v>
      </c>
      <c r="Y494" s="1">
        <v>12</v>
      </c>
    </row>
    <row r="495" spans="1:25" x14ac:dyDescent="0.25">
      <c r="A495" s="3">
        <v>483</v>
      </c>
      <c r="C495" s="7">
        <v>45924</v>
      </c>
      <c r="D495" s="3">
        <v>4558</v>
      </c>
      <c r="E495" s="1">
        <v>8379.94</v>
      </c>
      <c r="F495" s="3" t="s">
        <v>0</v>
      </c>
      <c r="G495" s="1">
        <v>504.2</v>
      </c>
      <c r="H495" s="2">
        <v>45924.996527777781</v>
      </c>
      <c r="I495" s="2">
        <v>45925.182638888888</v>
      </c>
      <c r="J495" s="1">
        <f t="shared" si="11"/>
        <v>4.4666666665580124</v>
      </c>
      <c r="K495" s="1">
        <v>112.88059701767126</v>
      </c>
      <c r="L495" s="1">
        <v>40</v>
      </c>
      <c r="M495" s="1">
        <v>90</v>
      </c>
      <c r="N495" s="3" t="s">
        <v>3</v>
      </c>
      <c r="O495" s="3"/>
      <c r="P495" s="14" t="s">
        <v>56</v>
      </c>
      <c r="Q495" s="2">
        <v>45925.202997685185</v>
      </c>
      <c r="R495" s="2">
        <v>45925.531099537038</v>
      </c>
      <c r="S495" s="1"/>
      <c r="T495" s="1" t="s">
        <v>87</v>
      </c>
      <c r="U495" s="1">
        <v>36758</v>
      </c>
      <c r="V495" s="1">
        <v>28038</v>
      </c>
      <c r="W495" s="1">
        <v>282</v>
      </c>
      <c r="X495" s="1">
        <v>829</v>
      </c>
      <c r="Y495" s="1">
        <v>12</v>
      </c>
    </row>
    <row r="496" spans="1:25" x14ac:dyDescent="0.25">
      <c r="A496" s="3">
        <v>484</v>
      </c>
      <c r="C496" s="7">
        <v>45925</v>
      </c>
      <c r="D496" s="3">
        <v>4572</v>
      </c>
      <c r="E496" s="1">
        <v>8405.14</v>
      </c>
      <c r="F496" s="3" t="s">
        <v>2</v>
      </c>
      <c r="G496" s="1">
        <v>461</v>
      </c>
      <c r="H496" s="2">
        <v>45926.072916666664</v>
      </c>
      <c r="I496" s="2">
        <v>45926.283333333333</v>
      </c>
      <c r="J496" s="1">
        <f t="shared" si="11"/>
        <v>5.0500000000465661</v>
      </c>
      <c r="K496" s="1">
        <v>91.287128712029528</v>
      </c>
      <c r="L496" s="1">
        <v>40</v>
      </c>
      <c r="M496" s="1">
        <v>75</v>
      </c>
      <c r="N496" s="3" t="s">
        <v>3</v>
      </c>
      <c r="O496" s="3"/>
      <c r="P496" s="14" t="s">
        <v>33</v>
      </c>
      <c r="Q496" s="2">
        <v>45926.288194444445</v>
      </c>
      <c r="R496" s="2">
        <v>45926.529166666667</v>
      </c>
      <c r="S496" s="1"/>
      <c r="T496" s="1" t="s">
        <v>97</v>
      </c>
      <c r="U496" s="1">
        <v>23360</v>
      </c>
      <c r="V496" s="1">
        <v>17527.5</v>
      </c>
      <c r="W496" s="1">
        <v>176.2</v>
      </c>
      <c r="X496" s="1">
        <v>517.9</v>
      </c>
      <c r="Y496" s="1">
        <v>12</v>
      </c>
    </row>
    <row r="497" spans="1:25" x14ac:dyDescent="0.25">
      <c r="A497" s="3">
        <v>485</v>
      </c>
      <c r="C497" s="7">
        <v>45926</v>
      </c>
      <c r="D497" s="3">
        <v>4585</v>
      </c>
      <c r="E497" s="1">
        <v>8429.52</v>
      </c>
      <c r="F497" s="3" t="s">
        <v>0</v>
      </c>
      <c r="G497" s="1">
        <v>480</v>
      </c>
      <c r="H497" s="2">
        <v>45927.020833333336</v>
      </c>
      <c r="I497" s="2">
        <v>45927.28125</v>
      </c>
      <c r="J497" s="1">
        <f t="shared" si="11"/>
        <v>6.2499999999417923</v>
      </c>
      <c r="K497" s="1">
        <v>76.800000000715258</v>
      </c>
      <c r="L497" s="1">
        <v>40</v>
      </c>
      <c r="M497" s="1">
        <v>18</v>
      </c>
      <c r="N497" s="3" t="s">
        <v>3</v>
      </c>
      <c r="O497" s="3"/>
      <c r="P497" s="14" t="s">
        <v>33</v>
      </c>
      <c r="S497" s="1"/>
      <c r="T497" s="1" t="s">
        <v>92</v>
      </c>
      <c r="U497" s="1">
        <v>0</v>
      </c>
      <c r="V497" s="1">
        <v>0</v>
      </c>
      <c r="W497" s="1">
        <v>0</v>
      </c>
      <c r="X497" s="1">
        <v>0</v>
      </c>
      <c r="Y497" s="1">
        <v>12</v>
      </c>
    </row>
    <row r="498" spans="1:25" x14ac:dyDescent="0.25">
      <c r="A498" s="3">
        <v>486</v>
      </c>
      <c r="C498" s="7">
        <v>45929</v>
      </c>
      <c r="D498" s="3">
        <v>4599</v>
      </c>
      <c r="E498" s="1">
        <v>8453.75</v>
      </c>
      <c r="F498" s="3" t="s">
        <v>0</v>
      </c>
      <c r="G498" s="1">
        <v>424.9</v>
      </c>
      <c r="H498" s="2">
        <v>45929.298611111109</v>
      </c>
      <c r="I498" s="2">
        <v>45929.444444444445</v>
      </c>
      <c r="J498" s="1">
        <f t="shared" si="11"/>
        <v>3.5000000000582077</v>
      </c>
      <c r="K498" s="1">
        <v>121.39999999798101</v>
      </c>
      <c r="L498" s="1">
        <v>40</v>
      </c>
      <c r="M498" s="1">
        <v>217</v>
      </c>
      <c r="N498" s="3" t="s">
        <v>3</v>
      </c>
      <c r="O498" s="3"/>
      <c r="P498" s="14" t="s">
        <v>56</v>
      </c>
      <c r="Q498" s="2">
        <v>45929.483298611114</v>
      </c>
      <c r="R498" s="2">
        <v>45929.685335648152</v>
      </c>
      <c r="S498" s="1"/>
      <c r="T498" s="1" t="s">
        <v>87</v>
      </c>
      <c r="U498" s="1">
        <v>18148</v>
      </c>
      <c r="V498" s="1">
        <v>14671.4</v>
      </c>
      <c r="W498" s="1">
        <v>155.69999999999999</v>
      </c>
      <c r="X498" s="1">
        <v>298.5</v>
      </c>
      <c r="Y498" s="1">
        <v>11</v>
      </c>
    </row>
    <row r="499" spans="1:25" x14ac:dyDescent="0.25">
      <c r="A499" s="3">
        <v>487</v>
      </c>
      <c r="C499" s="7">
        <v>45929</v>
      </c>
      <c r="D499" s="3">
        <v>4603</v>
      </c>
      <c r="E499" s="1">
        <v>8460.9500000000007</v>
      </c>
      <c r="F499" s="3" t="s">
        <v>2</v>
      </c>
      <c r="G499" s="1">
        <v>366</v>
      </c>
      <c r="H499" s="2">
        <v>45929.966666666667</v>
      </c>
      <c r="I499" s="2">
        <v>45930.152777777781</v>
      </c>
      <c r="J499" s="1">
        <f t="shared" si="11"/>
        <v>4.4666666667326353</v>
      </c>
      <c r="K499" s="1">
        <v>81.940298506252503</v>
      </c>
      <c r="L499" s="1">
        <v>32.6</v>
      </c>
      <c r="M499" s="1">
        <v>42</v>
      </c>
      <c r="N499" s="3" t="s">
        <v>3</v>
      </c>
      <c r="O499" s="3"/>
      <c r="P499" s="14" t="s">
        <v>33</v>
      </c>
      <c r="Q499" s="2">
        <v>45930.146527777775</v>
      </c>
      <c r="R499" s="2">
        <v>45930.388194444444</v>
      </c>
      <c r="S499" s="1"/>
      <c r="T499" s="1" t="s">
        <v>87</v>
      </c>
      <c r="U499" s="1">
        <v>15836</v>
      </c>
      <c r="V499" s="1">
        <v>13011.6</v>
      </c>
      <c r="W499" s="1">
        <v>135</v>
      </c>
      <c r="X499" s="1">
        <v>340.4</v>
      </c>
      <c r="Y499" s="1">
        <v>12</v>
      </c>
    </row>
    <row r="500" spans="1:25" x14ac:dyDescent="0.25">
      <c r="A500" s="3">
        <v>488</v>
      </c>
      <c r="C500" s="7">
        <v>45930</v>
      </c>
      <c r="D500" s="3">
        <v>4613</v>
      </c>
      <c r="E500" s="1">
        <v>8478.98</v>
      </c>
      <c r="F500" s="3" t="s">
        <v>2</v>
      </c>
      <c r="G500" s="1">
        <v>391.2</v>
      </c>
      <c r="H500" s="2">
        <v>45930.685416666667</v>
      </c>
      <c r="I500" s="2">
        <v>45930.847222222219</v>
      </c>
      <c r="J500" s="1">
        <f t="shared" si="11"/>
        <v>3.8833333332440816</v>
      </c>
      <c r="K500" s="1">
        <v>100.73819742720799</v>
      </c>
      <c r="L500" s="1">
        <v>32.6</v>
      </c>
      <c r="M500" s="1">
        <v>175</v>
      </c>
      <c r="N500" s="3" t="s">
        <v>5</v>
      </c>
      <c r="O500" s="3"/>
      <c r="P500" s="14"/>
      <c r="Q500" s="2">
        <v>45930.867615740739</v>
      </c>
      <c r="R500" s="2">
        <v>45931.224108796298</v>
      </c>
      <c r="S500" s="1"/>
      <c r="T500" s="1" t="s">
        <v>87</v>
      </c>
      <c r="U500" s="1">
        <v>29918</v>
      </c>
      <c r="V500" s="1">
        <v>21809.299999999992</v>
      </c>
      <c r="W500" s="1">
        <v>234.6</v>
      </c>
      <c r="X500" s="1">
        <v>691.2</v>
      </c>
      <c r="Y500" s="1">
        <v>12</v>
      </c>
    </row>
    <row r="501" spans="1:25" x14ac:dyDescent="0.25">
      <c r="A501" s="3">
        <v>489</v>
      </c>
      <c r="C501" s="7">
        <v>45931</v>
      </c>
      <c r="D501" s="3">
        <v>4615</v>
      </c>
      <c r="E501" s="1">
        <v>8482.56</v>
      </c>
      <c r="F501" s="3" t="s">
        <v>2</v>
      </c>
      <c r="G501" s="1">
        <v>359.6</v>
      </c>
      <c r="H501" s="2">
        <v>45931.34652777778</v>
      </c>
      <c r="I501" s="2">
        <v>45931.538194444445</v>
      </c>
      <c r="J501" s="1">
        <f t="shared" si="11"/>
        <v>4.5999999999767169</v>
      </c>
      <c r="K501" s="1">
        <v>78.173913043873952</v>
      </c>
      <c r="L501" s="1">
        <v>28.5</v>
      </c>
      <c r="M501" s="1">
        <v>0</v>
      </c>
      <c r="N501" s="3" t="s">
        <v>5</v>
      </c>
      <c r="O501" s="3"/>
      <c r="P501" s="14"/>
      <c r="Q501" s="2">
        <v>45931.540023148147</v>
      </c>
      <c r="R501" s="2">
        <v>45931.664456018516</v>
      </c>
      <c r="S501" s="1"/>
      <c r="T501" s="1" t="s">
        <v>87</v>
      </c>
      <c r="U501" s="1">
        <v>11142</v>
      </c>
      <c r="V501" s="1">
        <v>7616.6</v>
      </c>
      <c r="W501" s="1">
        <v>87.1</v>
      </c>
      <c r="X501" s="1">
        <v>228.3</v>
      </c>
      <c r="Y501" s="1">
        <v>12</v>
      </c>
    </row>
    <row r="502" spans="1:25" x14ac:dyDescent="0.25">
      <c r="A502" s="3">
        <v>490</v>
      </c>
      <c r="C502" s="7">
        <v>45931</v>
      </c>
      <c r="D502" s="3">
        <v>4622</v>
      </c>
      <c r="E502" s="1">
        <v>8494.84</v>
      </c>
      <c r="F502" s="3" t="s">
        <v>2</v>
      </c>
      <c r="G502" s="1">
        <v>384.2</v>
      </c>
      <c r="H502" s="2">
        <v>45931.975694444445</v>
      </c>
      <c r="I502" s="2">
        <v>45932.083333333336</v>
      </c>
      <c r="J502" s="1">
        <f t="shared" si="11"/>
        <v>2.5833333333721384</v>
      </c>
      <c r="K502" s="1">
        <v>148.72258064292728</v>
      </c>
      <c r="L502" s="1">
        <v>32.6</v>
      </c>
      <c r="M502" s="1">
        <v>13</v>
      </c>
      <c r="N502" s="3" t="s">
        <v>5</v>
      </c>
      <c r="O502" s="3"/>
      <c r="P502" s="14"/>
      <c r="Q502" s="2">
        <v>45932.102083333331</v>
      </c>
      <c r="R502" s="2">
        <v>45932.412499999999</v>
      </c>
      <c r="S502" s="1"/>
      <c r="T502" s="1" t="s">
        <v>87</v>
      </c>
      <c r="U502" s="1">
        <v>25096</v>
      </c>
      <c r="V502" s="1">
        <v>20484.3</v>
      </c>
      <c r="W502" s="1">
        <v>212.3</v>
      </c>
      <c r="X502" s="1">
        <v>515.29999999999995</v>
      </c>
      <c r="Y502" s="1">
        <v>12</v>
      </c>
    </row>
    <row r="503" spans="1:25" x14ac:dyDescent="0.25">
      <c r="A503" s="3">
        <v>491</v>
      </c>
      <c r="C503" s="7">
        <v>45932</v>
      </c>
      <c r="D503" s="3">
        <v>4632</v>
      </c>
      <c r="E503" s="1">
        <v>8513.16</v>
      </c>
      <c r="F503" s="3" t="s">
        <v>2</v>
      </c>
      <c r="G503" s="1">
        <v>358.6</v>
      </c>
      <c r="H503" s="2">
        <v>45932.684027777781</v>
      </c>
      <c r="I503" s="2">
        <v>45932.881249999999</v>
      </c>
      <c r="J503" s="1">
        <f t="shared" si="11"/>
        <v>4.7333333332207985</v>
      </c>
      <c r="K503" s="1">
        <v>75.760563382082893</v>
      </c>
      <c r="L503" s="1">
        <v>32.6</v>
      </c>
      <c r="M503" s="1">
        <v>11</v>
      </c>
      <c r="N503" s="3" t="s">
        <v>3</v>
      </c>
      <c r="O503" s="3"/>
      <c r="P503" s="14" t="s">
        <v>32</v>
      </c>
      <c r="Q503" s="2">
        <v>45932.870150462964</v>
      </c>
      <c r="R503" s="2">
        <v>45933.209340277775</v>
      </c>
      <c r="S503" s="1"/>
      <c r="T503" s="1" t="s">
        <v>87</v>
      </c>
      <c r="U503" s="1">
        <v>32658</v>
      </c>
      <c r="V503" s="1">
        <v>26674.799999999999</v>
      </c>
      <c r="W503" s="1">
        <v>293.8</v>
      </c>
      <c r="X503" s="1">
        <v>859.3</v>
      </c>
      <c r="Y503" s="1">
        <v>11</v>
      </c>
    </row>
    <row r="504" spans="1:25" x14ac:dyDescent="0.25">
      <c r="A504" s="3">
        <v>492</v>
      </c>
      <c r="C504" s="7">
        <v>45933</v>
      </c>
      <c r="D504" s="3">
        <v>4641</v>
      </c>
      <c r="E504" s="1">
        <v>8529.2000000000007</v>
      </c>
      <c r="F504" s="3" t="s">
        <v>0</v>
      </c>
      <c r="G504" s="1">
        <v>480</v>
      </c>
      <c r="H504" s="2">
        <v>45933.572916666664</v>
      </c>
      <c r="I504" s="2">
        <v>45933.736111111109</v>
      </c>
      <c r="J504" s="1">
        <f t="shared" si="11"/>
        <v>3.9166666666860692</v>
      </c>
      <c r="K504" s="1">
        <v>122.55319148875459</v>
      </c>
      <c r="L504" s="1">
        <v>40</v>
      </c>
      <c r="M504" s="1">
        <v>0</v>
      </c>
      <c r="N504" s="3" t="s">
        <v>5</v>
      </c>
      <c r="O504" s="3"/>
      <c r="P504" s="14"/>
      <c r="S504" s="1"/>
      <c r="T504" s="1" t="s">
        <v>92</v>
      </c>
      <c r="U504" s="1">
        <v>0</v>
      </c>
      <c r="V504" s="1"/>
      <c r="W504" s="1">
        <v>0</v>
      </c>
      <c r="X504" s="1">
        <v>0</v>
      </c>
      <c r="Y504" s="1">
        <v>12</v>
      </c>
    </row>
    <row r="505" spans="1:25" x14ac:dyDescent="0.25">
      <c r="A505" s="3">
        <v>493</v>
      </c>
      <c r="C505" s="7">
        <v>45934</v>
      </c>
      <c r="D505" s="3">
        <v>4657</v>
      </c>
      <c r="E505" s="1">
        <v>8559.9699999999993</v>
      </c>
      <c r="F505" s="3" t="s">
        <v>0</v>
      </c>
      <c r="G505" s="1">
        <v>443.5</v>
      </c>
      <c r="H505" s="2">
        <v>45934.614583333336</v>
      </c>
      <c r="I505" s="2">
        <v>45934.774305555555</v>
      </c>
      <c r="J505" s="1">
        <f t="shared" si="11"/>
        <v>3.8333333332557231</v>
      </c>
      <c r="K505" s="1">
        <v>115.69565217625544</v>
      </c>
      <c r="L505" s="1">
        <v>40</v>
      </c>
      <c r="M505" s="1">
        <v>0</v>
      </c>
      <c r="N505" s="3" t="s">
        <v>5</v>
      </c>
      <c r="O505" s="3"/>
      <c r="P505" s="14"/>
      <c r="S505" s="1"/>
      <c r="T505" s="1" t="s">
        <v>92</v>
      </c>
      <c r="U505" s="1">
        <v>0</v>
      </c>
      <c r="V505" s="1"/>
      <c r="W505" s="1">
        <v>0</v>
      </c>
      <c r="X505" s="1">
        <v>0</v>
      </c>
      <c r="Y505" s="1">
        <v>12</v>
      </c>
    </row>
    <row r="506" spans="1:25" x14ac:dyDescent="0.25">
      <c r="A506" s="3">
        <v>494</v>
      </c>
      <c r="C506" s="7">
        <v>45936</v>
      </c>
      <c r="D506" s="3">
        <v>4674</v>
      </c>
      <c r="E506" s="1">
        <v>8588.7999999999993</v>
      </c>
      <c r="F506" s="3" t="s">
        <v>0</v>
      </c>
      <c r="G506" s="1">
        <v>444</v>
      </c>
      <c r="H506" s="2">
        <v>45936.688888888886</v>
      </c>
      <c r="I506" s="2">
        <v>45936.852777777778</v>
      </c>
      <c r="J506" s="1">
        <f t="shared" si="11"/>
        <v>3.933333333407063</v>
      </c>
      <c r="K506" s="1">
        <v>112.88135593008745</v>
      </c>
      <c r="L506" s="1">
        <v>40</v>
      </c>
      <c r="M506" s="1">
        <v>5.5</v>
      </c>
      <c r="N506" s="3" t="s">
        <v>5</v>
      </c>
      <c r="O506" s="3"/>
      <c r="P506" s="14"/>
      <c r="S506" s="1"/>
      <c r="T506" s="1" t="s">
        <v>92</v>
      </c>
      <c r="U506" s="1">
        <v>0</v>
      </c>
      <c r="V506" s="1">
        <v>0</v>
      </c>
      <c r="W506" s="1">
        <v>0</v>
      </c>
      <c r="X506" s="1">
        <v>0</v>
      </c>
      <c r="Y506" s="1">
        <v>12</v>
      </c>
    </row>
    <row r="507" spans="1:25" x14ac:dyDescent="0.25">
      <c r="A507" s="3">
        <v>495</v>
      </c>
      <c r="C507" s="7">
        <v>45937</v>
      </c>
      <c r="D507" s="3">
        <v>4691</v>
      </c>
      <c r="E507" s="1">
        <v>8619.3799999999992</v>
      </c>
      <c r="F507" s="3" t="s">
        <v>2</v>
      </c>
      <c r="G507" s="1">
        <v>480</v>
      </c>
      <c r="H507" s="2">
        <v>45937.352777777778</v>
      </c>
      <c r="I507" s="2">
        <v>45937.488194444442</v>
      </c>
      <c r="J507" s="1">
        <f t="shared" si="11"/>
        <v>3.2499999999417923</v>
      </c>
      <c r="K507" s="1">
        <v>147.69230769495286</v>
      </c>
      <c r="L507" s="1">
        <v>40</v>
      </c>
      <c r="M507" s="1">
        <v>91</v>
      </c>
      <c r="N507" s="3" t="s">
        <v>3</v>
      </c>
      <c r="O507" s="3"/>
      <c r="P507" s="14" t="s">
        <v>62</v>
      </c>
      <c r="Q507" s="2">
        <v>45937.507685185185</v>
      </c>
      <c r="R507" s="2">
        <v>45937.850555555553</v>
      </c>
      <c r="S507" s="1"/>
      <c r="T507" s="1" t="s">
        <v>87</v>
      </c>
      <c r="U507" s="1">
        <v>34285</v>
      </c>
      <c r="V507" s="1">
        <v>24491</v>
      </c>
      <c r="W507" s="1">
        <v>263</v>
      </c>
      <c r="X507" s="1">
        <v>765</v>
      </c>
      <c r="Y507" s="1">
        <v>12</v>
      </c>
    </row>
    <row r="508" spans="1:25" x14ac:dyDescent="0.25">
      <c r="A508" s="3">
        <v>496</v>
      </c>
      <c r="C508" s="7">
        <v>45938</v>
      </c>
      <c r="D508" s="3">
        <v>4705</v>
      </c>
      <c r="E508" s="1">
        <v>8644.5</v>
      </c>
      <c r="F508" s="3" t="s">
        <v>0</v>
      </c>
      <c r="G508" s="1">
        <v>467</v>
      </c>
      <c r="H508" s="2">
        <v>45938.365972222222</v>
      </c>
      <c r="I508" s="2">
        <v>45938.506944444445</v>
      </c>
      <c r="J508" s="1">
        <f t="shared" si="11"/>
        <v>3.3833333333604969</v>
      </c>
      <c r="K508" s="1">
        <v>138.02955664913813</v>
      </c>
      <c r="L508" s="1">
        <v>40</v>
      </c>
      <c r="M508" s="1">
        <v>7.5</v>
      </c>
      <c r="N508" s="3" t="s">
        <v>5</v>
      </c>
      <c r="O508" s="3"/>
      <c r="P508" s="14"/>
      <c r="S508" s="1"/>
      <c r="T508" s="1" t="s">
        <v>92</v>
      </c>
      <c r="U508" s="1">
        <v>0</v>
      </c>
      <c r="V508" s="1">
        <v>0</v>
      </c>
      <c r="W508" s="1">
        <v>0</v>
      </c>
      <c r="X508" s="1">
        <v>0</v>
      </c>
      <c r="Y508" s="1">
        <v>12</v>
      </c>
    </row>
    <row r="509" spans="1:25" x14ac:dyDescent="0.25">
      <c r="A509" s="3">
        <v>497</v>
      </c>
      <c r="C509" s="7">
        <v>45939</v>
      </c>
      <c r="D509" s="3">
        <v>4722</v>
      </c>
      <c r="E509" s="1">
        <v>8675</v>
      </c>
      <c r="F509" s="3" t="s">
        <v>0</v>
      </c>
      <c r="G509" s="1">
        <v>480</v>
      </c>
      <c r="H509" s="2">
        <v>45939.194444444445</v>
      </c>
      <c r="I509" s="2">
        <v>45939.37222222222</v>
      </c>
      <c r="J509" s="1">
        <f t="shared" si="11"/>
        <v>4.2666666666045785</v>
      </c>
      <c r="K509" s="1">
        <v>112.50000000163709</v>
      </c>
      <c r="L509" s="1">
        <v>40</v>
      </c>
      <c r="M509" s="1">
        <v>0</v>
      </c>
      <c r="N509" s="3" t="s">
        <v>5</v>
      </c>
      <c r="O509" s="3"/>
      <c r="P509" s="14" t="s">
        <v>63</v>
      </c>
      <c r="S509" s="1"/>
      <c r="T509" s="1" t="s">
        <v>92</v>
      </c>
      <c r="U509" s="1">
        <v>0</v>
      </c>
      <c r="V509" s="1">
        <v>0</v>
      </c>
      <c r="W509" s="1">
        <v>0</v>
      </c>
      <c r="X509" s="1">
        <v>0</v>
      </c>
      <c r="Y509" s="1">
        <v>12</v>
      </c>
    </row>
    <row r="510" spans="1:25" x14ac:dyDescent="0.25">
      <c r="A510" s="3">
        <v>498</v>
      </c>
      <c r="C510" s="7">
        <v>45939</v>
      </c>
      <c r="D510" s="3">
        <v>4739</v>
      </c>
      <c r="E510" s="1">
        <v>8705.6</v>
      </c>
      <c r="F510" s="3" t="s">
        <v>0</v>
      </c>
      <c r="G510" s="1">
        <v>480</v>
      </c>
      <c r="H510" s="2">
        <v>45939.902777777781</v>
      </c>
      <c r="I510" s="2">
        <v>45940.044444444444</v>
      </c>
      <c r="J510" s="1">
        <f t="shared" si="11"/>
        <v>3.3999999999068677</v>
      </c>
      <c r="K510" s="1">
        <v>141.17647059210239</v>
      </c>
      <c r="L510" s="1">
        <v>40</v>
      </c>
      <c r="M510" s="1">
        <v>0</v>
      </c>
      <c r="N510" s="3" t="s">
        <v>5</v>
      </c>
      <c r="O510" s="3"/>
      <c r="P510" s="14"/>
      <c r="S510" s="1"/>
      <c r="T510" s="1" t="s">
        <v>92</v>
      </c>
      <c r="U510" s="1">
        <v>0</v>
      </c>
      <c r="V510" s="1">
        <v>0</v>
      </c>
      <c r="W510" s="1">
        <v>0</v>
      </c>
      <c r="X510" s="1">
        <v>0</v>
      </c>
      <c r="Y510" s="1">
        <v>12</v>
      </c>
    </row>
    <row r="511" spans="1:25" x14ac:dyDescent="0.25">
      <c r="A511" s="3">
        <v>499</v>
      </c>
      <c r="C511" s="7">
        <v>45940</v>
      </c>
      <c r="D511" s="3">
        <v>4756</v>
      </c>
      <c r="E511" s="1">
        <v>8736.2000000000007</v>
      </c>
      <c r="F511" s="3" t="s">
        <v>0</v>
      </c>
      <c r="G511" s="1">
        <v>480</v>
      </c>
      <c r="H511" s="2">
        <v>45940.673611111109</v>
      </c>
      <c r="I511" s="2">
        <v>45940.868055555555</v>
      </c>
      <c r="J511" s="1">
        <f t="shared" si="11"/>
        <v>4.6666666666860692</v>
      </c>
      <c r="K511" s="1">
        <v>102.85714285671521</v>
      </c>
      <c r="L511" s="1">
        <v>40</v>
      </c>
      <c r="M511" s="1">
        <v>0</v>
      </c>
      <c r="N511" s="3" t="s">
        <v>5</v>
      </c>
      <c r="O511" s="3"/>
      <c r="P511" s="14" t="s">
        <v>63</v>
      </c>
      <c r="S511" s="1"/>
      <c r="T511" s="1" t="s">
        <v>92</v>
      </c>
      <c r="U511" s="1">
        <v>0</v>
      </c>
      <c r="V511" s="1">
        <v>0</v>
      </c>
      <c r="W511" s="1">
        <v>0</v>
      </c>
      <c r="X511" s="1">
        <v>0</v>
      </c>
      <c r="Y511" s="1">
        <v>12</v>
      </c>
    </row>
    <row r="512" spans="1:25" x14ac:dyDescent="0.25">
      <c r="A512" s="3">
        <v>500</v>
      </c>
      <c r="C512" s="7">
        <v>45941</v>
      </c>
      <c r="D512" s="3">
        <v>4773</v>
      </c>
      <c r="E512" s="1">
        <v>8767</v>
      </c>
      <c r="F512" s="3" t="s">
        <v>0</v>
      </c>
      <c r="G512" s="1">
        <v>440</v>
      </c>
      <c r="H512" s="2">
        <v>45941.37777777778</v>
      </c>
      <c r="I512" s="2">
        <v>45941.37777777778</v>
      </c>
      <c r="J512" s="1">
        <f t="shared" si="11"/>
        <v>0</v>
      </c>
      <c r="K512" s="1">
        <v>111.39240506460433</v>
      </c>
      <c r="L512" s="1">
        <v>40</v>
      </c>
      <c r="M512" s="1">
        <v>18</v>
      </c>
      <c r="N512" s="3" t="s">
        <v>5</v>
      </c>
      <c r="O512" s="3"/>
      <c r="P512" s="14"/>
      <c r="S512" s="1"/>
      <c r="T512" s="1" t="s">
        <v>92</v>
      </c>
      <c r="U512" s="1">
        <v>0</v>
      </c>
      <c r="V512" s="1">
        <v>0</v>
      </c>
      <c r="W512" s="1">
        <v>0</v>
      </c>
      <c r="X512" s="1">
        <v>0</v>
      </c>
      <c r="Y512" s="1">
        <v>11</v>
      </c>
    </row>
    <row r="513" spans="1:25" x14ac:dyDescent="0.25">
      <c r="A513" s="3">
        <v>501</v>
      </c>
      <c r="C513" s="7">
        <v>45943</v>
      </c>
      <c r="D513" s="3">
        <v>4790</v>
      </c>
      <c r="E513" s="1">
        <v>8797.6</v>
      </c>
      <c r="F513" s="3" t="s">
        <v>0</v>
      </c>
      <c r="G513" s="1">
        <v>336</v>
      </c>
      <c r="H513" s="2">
        <v>45943.313888888886</v>
      </c>
      <c r="I513" s="2">
        <v>45943.404166666667</v>
      </c>
      <c r="J513" s="1">
        <f t="shared" si="11"/>
        <v>2.1666666667442769</v>
      </c>
      <c r="K513" s="1">
        <v>155.07692307136821</v>
      </c>
      <c r="L513" s="1">
        <v>28</v>
      </c>
      <c r="M513" s="1">
        <v>0</v>
      </c>
      <c r="N513" s="1" t="s">
        <v>5</v>
      </c>
      <c r="O513" s="3"/>
      <c r="P513" s="16"/>
      <c r="S513" s="1"/>
      <c r="T513" s="1" t="s">
        <v>92</v>
      </c>
      <c r="U513" s="1">
        <v>0</v>
      </c>
      <c r="V513" s="1">
        <v>0</v>
      </c>
      <c r="W513" s="1">
        <v>0</v>
      </c>
      <c r="X513" s="1">
        <v>0</v>
      </c>
      <c r="Y513" s="1">
        <v>12</v>
      </c>
    </row>
    <row r="514" spans="1:25" x14ac:dyDescent="0.25">
      <c r="A514" s="3">
        <v>502</v>
      </c>
      <c r="C514" s="7">
        <v>45944</v>
      </c>
      <c r="D514" s="3">
        <v>4797</v>
      </c>
      <c r="E514" s="1">
        <v>8810.9500000000007</v>
      </c>
      <c r="F514" s="3" t="s">
        <v>2</v>
      </c>
      <c r="G514" s="1">
        <v>465.24</v>
      </c>
      <c r="H514" s="2">
        <v>45944.333333333336</v>
      </c>
      <c r="I514" s="2">
        <v>45944.495138888888</v>
      </c>
      <c r="J514" s="1">
        <f t="shared" ref="J514:J577" si="12">(I514-H514)*24</f>
        <v>3.8833333332440816</v>
      </c>
      <c r="K514" s="1">
        <v>119.80429184824706</v>
      </c>
      <c r="L514" s="1">
        <v>40</v>
      </c>
      <c r="M514" s="1">
        <v>90</v>
      </c>
      <c r="N514" s="1" t="s">
        <v>5</v>
      </c>
      <c r="O514" s="3"/>
      <c r="P514" s="16"/>
      <c r="Q514" s="2">
        <v>45944.509606481479</v>
      </c>
      <c r="R514" s="2">
        <v>45944.852233796293</v>
      </c>
      <c r="S514" s="1"/>
      <c r="T514" s="1" t="s">
        <v>87</v>
      </c>
      <c r="U514" s="1">
        <v>28186</v>
      </c>
      <c r="V514" s="1">
        <v>22364.6</v>
      </c>
      <c r="W514" s="1">
        <v>240.8</v>
      </c>
      <c r="X514" s="1">
        <v>754.9</v>
      </c>
      <c r="Y514" s="1">
        <v>12</v>
      </c>
    </row>
    <row r="515" spans="1:25" x14ac:dyDescent="0.25">
      <c r="A515" s="3">
        <v>503</v>
      </c>
      <c r="C515" s="7">
        <v>45945</v>
      </c>
      <c r="D515" s="3">
        <v>4811</v>
      </c>
      <c r="E515" s="1">
        <v>8835.24</v>
      </c>
      <c r="F515" s="3" t="s">
        <v>0</v>
      </c>
      <c r="G515" s="1">
        <v>320</v>
      </c>
      <c r="H515" s="2">
        <v>45945.411111111112</v>
      </c>
      <c r="I515" s="2">
        <v>45945.635416666664</v>
      </c>
      <c r="J515" s="1">
        <f t="shared" si="12"/>
        <v>5.3833333332440816</v>
      </c>
      <c r="K515" s="1">
        <v>59.442724459189854</v>
      </c>
      <c r="L515" s="1">
        <v>40</v>
      </c>
      <c r="M515" s="1">
        <v>0.5</v>
      </c>
      <c r="N515" s="1" t="s">
        <v>5</v>
      </c>
      <c r="O515" s="3"/>
      <c r="P515" s="16" t="s">
        <v>64</v>
      </c>
      <c r="S515" s="1"/>
      <c r="T515" s="1" t="s">
        <v>92</v>
      </c>
      <c r="U515" s="1">
        <v>0</v>
      </c>
      <c r="V515" s="1">
        <v>0</v>
      </c>
      <c r="W515" s="1">
        <v>0</v>
      </c>
      <c r="X515" s="1">
        <v>0</v>
      </c>
      <c r="Y515" s="1">
        <v>8</v>
      </c>
    </row>
    <row r="516" spans="1:25" x14ac:dyDescent="0.25">
      <c r="A516" s="3">
        <v>504</v>
      </c>
      <c r="C516" s="7">
        <v>45946</v>
      </c>
      <c r="D516" s="3">
        <v>4828</v>
      </c>
      <c r="E516" s="1">
        <v>8866</v>
      </c>
      <c r="F516" s="3" t="s">
        <v>0</v>
      </c>
      <c r="G516" s="1">
        <v>360</v>
      </c>
      <c r="H516" s="2">
        <v>45946.456944444442</v>
      </c>
      <c r="I516" s="2">
        <v>45946.583333333336</v>
      </c>
      <c r="J516" s="1">
        <f t="shared" si="12"/>
        <v>3.0333333334419876</v>
      </c>
      <c r="K516" s="1">
        <v>118.68131867706751</v>
      </c>
      <c r="L516" s="1">
        <v>40</v>
      </c>
      <c r="M516" s="1">
        <v>0</v>
      </c>
      <c r="N516" s="1" t="s">
        <v>65</v>
      </c>
      <c r="O516" s="3"/>
      <c r="P516" s="16" t="s">
        <v>66</v>
      </c>
      <c r="S516" s="1"/>
      <c r="T516" s="1" t="s">
        <v>92</v>
      </c>
      <c r="U516" s="1">
        <v>0</v>
      </c>
      <c r="V516" s="1">
        <v>0</v>
      </c>
      <c r="W516" s="1">
        <v>0</v>
      </c>
      <c r="X516" s="1">
        <v>0</v>
      </c>
      <c r="Y516" s="1">
        <v>9</v>
      </c>
    </row>
    <row r="517" spans="1:25" x14ac:dyDescent="0.25">
      <c r="A517" s="3">
        <v>505</v>
      </c>
      <c r="C517" s="7">
        <v>45947</v>
      </c>
      <c r="D517" s="3">
        <v>4845</v>
      </c>
      <c r="E517" s="1">
        <v>8896.64</v>
      </c>
      <c r="F517" s="3" t="s">
        <v>0</v>
      </c>
      <c r="G517" s="1">
        <v>360</v>
      </c>
      <c r="H517" s="2">
        <v>45947.508333333331</v>
      </c>
      <c r="I517" s="2">
        <v>45947.635416666664</v>
      </c>
      <c r="J517" s="1">
        <f t="shared" si="12"/>
        <v>3.0499999999883585</v>
      </c>
      <c r="K517" s="1">
        <v>118.03278688569642</v>
      </c>
      <c r="L517" s="1">
        <v>40</v>
      </c>
      <c r="M517" s="1">
        <v>0</v>
      </c>
      <c r="N517" s="1" t="s">
        <v>5</v>
      </c>
      <c r="O517" s="3"/>
      <c r="P517" s="16"/>
      <c r="S517" s="1"/>
      <c r="T517" s="1" t="s">
        <v>92</v>
      </c>
      <c r="U517" s="1">
        <v>0</v>
      </c>
      <c r="V517" s="1">
        <v>0</v>
      </c>
      <c r="W517" s="1">
        <v>0</v>
      </c>
      <c r="X517" s="1">
        <v>0</v>
      </c>
      <c r="Y517" s="1">
        <v>9</v>
      </c>
    </row>
    <row r="518" spans="1:25" x14ac:dyDescent="0.25">
      <c r="A518" s="3">
        <v>506</v>
      </c>
      <c r="C518" s="7">
        <v>45948</v>
      </c>
      <c r="D518" s="3">
        <v>4862</v>
      </c>
      <c r="E518" s="1">
        <v>8927.24</v>
      </c>
      <c r="F518" s="3" t="s">
        <v>0</v>
      </c>
      <c r="G518" s="1">
        <v>360</v>
      </c>
      <c r="H518" s="2">
        <v>45948.322916666664</v>
      </c>
      <c r="I518" s="2">
        <v>45948.435416666667</v>
      </c>
      <c r="J518" s="1">
        <f t="shared" si="12"/>
        <v>2.7000000000698492</v>
      </c>
      <c r="K518" s="1">
        <v>133.333333329884</v>
      </c>
      <c r="L518" s="1">
        <v>40</v>
      </c>
      <c r="M518" s="1">
        <v>0</v>
      </c>
      <c r="N518" s="1" t="s">
        <v>5</v>
      </c>
      <c r="O518" s="3"/>
      <c r="P518" s="16"/>
      <c r="S518" s="1"/>
      <c r="T518" s="1" t="s">
        <v>92</v>
      </c>
      <c r="U518" s="1">
        <v>0</v>
      </c>
      <c r="V518" s="1">
        <v>0</v>
      </c>
      <c r="W518" s="1">
        <v>0</v>
      </c>
      <c r="X518" s="1">
        <v>0</v>
      </c>
      <c r="Y518" s="1">
        <v>9</v>
      </c>
    </row>
    <row r="519" spans="1:25" x14ac:dyDescent="0.25">
      <c r="A519" s="3">
        <v>507</v>
      </c>
      <c r="C519" s="7">
        <v>45949</v>
      </c>
      <c r="D519" s="3">
        <v>4879</v>
      </c>
      <c r="E519" s="1">
        <v>8958.56</v>
      </c>
      <c r="F519" s="3" t="s">
        <v>0</v>
      </c>
      <c r="G519" s="1">
        <v>360</v>
      </c>
      <c r="H519" s="2">
        <v>45949.03402777778</v>
      </c>
      <c r="I519" s="2">
        <v>45949.185416666667</v>
      </c>
      <c r="J519" s="1">
        <f t="shared" si="12"/>
        <v>3.6333333333022892</v>
      </c>
      <c r="K519" s="1">
        <v>99.082568808186039</v>
      </c>
      <c r="L519" s="1">
        <v>40</v>
      </c>
      <c r="M519" s="1">
        <v>8</v>
      </c>
      <c r="N519" s="1" t="s">
        <v>5</v>
      </c>
      <c r="O519" s="3"/>
      <c r="P519" s="16"/>
      <c r="S519" s="1"/>
      <c r="T519" s="1" t="s">
        <v>92</v>
      </c>
      <c r="U519" s="1">
        <v>0</v>
      </c>
      <c r="V519" s="1">
        <v>0</v>
      </c>
      <c r="W519" s="1">
        <v>0</v>
      </c>
      <c r="X519" s="1">
        <v>0</v>
      </c>
      <c r="Y519" s="1">
        <v>9</v>
      </c>
    </row>
    <row r="520" spans="1:25" x14ac:dyDescent="0.25">
      <c r="A520" s="3">
        <v>508</v>
      </c>
      <c r="C520" s="7">
        <v>45950</v>
      </c>
      <c r="D520" s="3">
        <v>4896</v>
      </c>
      <c r="E520" s="1">
        <v>8988.4</v>
      </c>
      <c r="F520" s="3" t="s">
        <v>0</v>
      </c>
      <c r="G520" s="1">
        <v>350</v>
      </c>
      <c r="H520" s="2">
        <v>45950.895833333336</v>
      </c>
      <c r="I520" s="2">
        <v>45951.041666666664</v>
      </c>
      <c r="J520" s="1">
        <f t="shared" si="12"/>
        <v>3.4999999998835847</v>
      </c>
      <c r="K520" s="1">
        <v>100.00000000332615</v>
      </c>
      <c r="L520" s="1">
        <v>40</v>
      </c>
      <c r="M520" s="1">
        <v>2</v>
      </c>
      <c r="N520" s="1" t="s">
        <v>3</v>
      </c>
      <c r="O520" s="3"/>
      <c r="P520" s="16" t="s">
        <v>67</v>
      </c>
      <c r="S520" s="1"/>
      <c r="T520" s="1" t="s">
        <v>92</v>
      </c>
      <c r="U520" s="1">
        <v>0</v>
      </c>
      <c r="V520" s="1">
        <v>0</v>
      </c>
      <c r="W520" s="1">
        <v>0</v>
      </c>
      <c r="X520" s="1">
        <v>0</v>
      </c>
      <c r="Y520" s="1">
        <v>9</v>
      </c>
    </row>
    <row r="521" spans="1:25" x14ac:dyDescent="0.25">
      <c r="A521" s="3">
        <v>509</v>
      </c>
      <c r="C521" s="7">
        <v>45951</v>
      </c>
      <c r="D521" s="3">
        <v>4913</v>
      </c>
      <c r="E521" s="1">
        <v>9019.08</v>
      </c>
      <c r="F521" s="3" t="s">
        <v>0</v>
      </c>
      <c r="G521" s="1">
        <v>360</v>
      </c>
      <c r="H521" s="2">
        <v>45951.720138888886</v>
      </c>
      <c r="I521" s="2">
        <v>45951.822916666664</v>
      </c>
      <c r="J521" s="1">
        <f t="shared" si="12"/>
        <v>2.4666666666744277</v>
      </c>
      <c r="K521" s="1">
        <v>145.94594594548676</v>
      </c>
      <c r="L521" s="1">
        <v>40</v>
      </c>
      <c r="M521" s="1">
        <v>0</v>
      </c>
      <c r="N521" s="1" t="s">
        <v>5</v>
      </c>
      <c r="O521" s="3"/>
      <c r="P521" s="16"/>
      <c r="S521" s="1"/>
      <c r="T521" s="1" t="s">
        <v>92</v>
      </c>
      <c r="U521" s="1">
        <v>0</v>
      </c>
      <c r="V521" s="1">
        <v>0</v>
      </c>
      <c r="W521" s="1">
        <v>0</v>
      </c>
      <c r="X521" s="1">
        <v>0</v>
      </c>
      <c r="Y521" s="1">
        <v>9</v>
      </c>
    </row>
    <row r="522" spans="1:25" x14ac:dyDescent="0.25">
      <c r="A522" s="3">
        <v>510</v>
      </c>
      <c r="C522" s="7">
        <v>45952</v>
      </c>
      <c r="D522" s="3">
        <v>4930</v>
      </c>
      <c r="E522" s="1">
        <v>9049.6</v>
      </c>
      <c r="F522" s="3" t="s">
        <v>0</v>
      </c>
      <c r="G522" s="1">
        <v>360</v>
      </c>
      <c r="H522" s="2">
        <v>45952.584722222222</v>
      </c>
      <c r="I522" s="2">
        <v>45952.685416666667</v>
      </c>
      <c r="J522" s="1">
        <f t="shared" si="12"/>
        <v>2.4166666666860692</v>
      </c>
      <c r="K522" s="1">
        <v>148.96551724018332</v>
      </c>
      <c r="L522" s="1">
        <v>40</v>
      </c>
      <c r="M522" s="1">
        <v>1.5</v>
      </c>
      <c r="N522" s="1" t="s">
        <v>5</v>
      </c>
      <c r="O522" s="3"/>
      <c r="P522" s="16"/>
      <c r="S522" s="1"/>
      <c r="T522" s="1" t="s">
        <v>92</v>
      </c>
      <c r="U522" s="1">
        <v>0</v>
      </c>
      <c r="V522" s="1">
        <v>0</v>
      </c>
      <c r="W522" s="1">
        <v>0</v>
      </c>
      <c r="X522" s="1">
        <v>0</v>
      </c>
      <c r="Y522" s="1">
        <v>9</v>
      </c>
    </row>
    <row r="523" spans="1:25" x14ac:dyDescent="0.25">
      <c r="A523" s="3">
        <v>511</v>
      </c>
      <c r="C523" s="7">
        <v>45953</v>
      </c>
      <c r="D523" s="3">
        <v>4947</v>
      </c>
      <c r="E523" s="3">
        <v>9080.9</v>
      </c>
      <c r="F523" s="3" t="s">
        <v>0</v>
      </c>
      <c r="G523" s="1">
        <v>356</v>
      </c>
      <c r="H523" s="2">
        <v>45953.390277777777</v>
      </c>
      <c r="I523" s="2">
        <v>45953.498611111114</v>
      </c>
      <c r="J523" s="1">
        <f t="shared" si="12"/>
        <v>2.6000000000931323</v>
      </c>
      <c r="K523" s="1">
        <v>136.92307691817231</v>
      </c>
      <c r="L523" s="1">
        <v>40</v>
      </c>
      <c r="M523" s="1">
        <v>9.6999999999999993</v>
      </c>
      <c r="N523" s="1" t="s">
        <v>5</v>
      </c>
      <c r="O523" s="3"/>
      <c r="P523" s="16" t="s">
        <v>68</v>
      </c>
      <c r="S523" s="1"/>
      <c r="T523" s="1" t="s">
        <v>92</v>
      </c>
      <c r="U523" s="1">
        <v>0</v>
      </c>
      <c r="V523" s="1">
        <v>0</v>
      </c>
      <c r="W523" s="1">
        <v>0</v>
      </c>
      <c r="X523" s="1">
        <v>0</v>
      </c>
      <c r="Y523" s="1">
        <v>9</v>
      </c>
    </row>
    <row r="524" spans="1:25" x14ac:dyDescent="0.25">
      <c r="A524" s="3">
        <v>512</v>
      </c>
      <c r="C524" s="7">
        <v>45953</v>
      </c>
      <c r="D524" s="3">
        <v>4964</v>
      </c>
      <c r="E524" s="1">
        <v>9110.9</v>
      </c>
      <c r="F524" s="3" t="s">
        <v>0</v>
      </c>
      <c r="G524" s="1">
        <v>240</v>
      </c>
      <c r="H524" s="2">
        <v>45954</v>
      </c>
      <c r="I524" s="2">
        <v>45954.125</v>
      </c>
      <c r="J524" s="1">
        <f t="shared" si="12"/>
        <v>3</v>
      </c>
      <c r="K524" s="1">
        <v>80</v>
      </c>
      <c r="L524" s="1">
        <v>40</v>
      </c>
      <c r="M524" s="1">
        <v>7</v>
      </c>
      <c r="N524" s="1" t="s">
        <v>5</v>
      </c>
      <c r="O524" s="3"/>
      <c r="P524" s="16"/>
      <c r="S524" s="1"/>
      <c r="T524" s="1" t="s">
        <v>92</v>
      </c>
      <c r="U524" s="1">
        <v>0</v>
      </c>
      <c r="V524" s="1">
        <v>0</v>
      </c>
      <c r="W524" s="1">
        <v>0</v>
      </c>
      <c r="X524" s="1">
        <v>0</v>
      </c>
      <c r="Y524" s="1">
        <v>6</v>
      </c>
    </row>
    <row r="525" spans="1:25" x14ac:dyDescent="0.25">
      <c r="A525" s="3">
        <v>513</v>
      </c>
      <c r="C525" s="7">
        <v>45954</v>
      </c>
      <c r="D525" s="3">
        <v>4981</v>
      </c>
      <c r="E525" s="1">
        <v>9141.5</v>
      </c>
      <c r="F525" s="3" t="s">
        <v>0</v>
      </c>
      <c r="G525" s="1">
        <v>360</v>
      </c>
      <c r="H525" s="2">
        <v>45954.60833333333</v>
      </c>
      <c r="I525" s="2">
        <v>45954.704861111109</v>
      </c>
      <c r="J525" s="1">
        <f t="shared" si="12"/>
        <v>2.3166666667093523</v>
      </c>
      <c r="K525" s="1">
        <v>155.39568345037418</v>
      </c>
      <c r="L525" s="1">
        <v>40</v>
      </c>
      <c r="M525" s="1">
        <v>0</v>
      </c>
      <c r="N525" s="1" t="s">
        <v>5</v>
      </c>
      <c r="O525" s="3"/>
      <c r="P525" s="16" t="s">
        <v>69</v>
      </c>
      <c r="S525" s="1"/>
      <c r="T525" s="1" t="s">
        <v>92</v>
      </c>
      <c r="U525" s="1">
        <v>0</v>
      </c>
      <c r="V525" s="1">
        <v>0</v>
      </c>
      <c r="W525" s="1">
        <v>0</v>
      </c>
      <c r="X525" s="1">
        <v>0</v>
      </c>
      <c r="Y525" s="1">
        <v>9</v>
      </c>
    </row>
    <row r="526" spans="1:25" x14ac:dyDescent="0.25">
      <c r="A526" s="3">
        <v>514</v>
      </c>
      <c r="C526" s="7">
        <v>45955</v>
      </c>
      <c r="D526" s="3">
        <v>4998</v>
      </c>
      <c r="E526" s="1">
        <v>9172.1</v>
      </c>
      <c r="F526" s="3" t="s">
        <v>0</v>
      </c>
      <c r="G526" s="1">
        <v>360</v>
      </c>
      <c r="H526" s="2">
        <v>45955.225694444445</v>
      </c>
      <c r="I526" s="2">
        <v>45955.37222222222</v>
      </c>
      <c r="J526" s="1">
        <f t="shared" si="12"/>
        <v>3.5166666666045785</v>
      </c>
      <c r="K526" s="1">
        <v>102.36966824825288</v>
      </c>
      <c r="L526" s="1">
        <v>40</v>
      </c>
      <c r="M526" s="1">
        <v>1.5</v>
      </c>
      <c r="N526" s="1" t="s">
        <v>3</v>
      </c>
      <c r="O526" s="3"/>
      <c r="P526" s="16" t="s">
        <v>70</v>
      </c>
      <c r="S526" s="1"/>
      <c r="T526" s="1" t="s">
        <v>92</v>
      </c>
      <c r="U526" s="1">
        <v>0</v>
      </c>
      <c r="V526" s="1">
        <v>0</v>
      </c>
      <c r="W526" s="1">
        <v>0</v>
      </c>
      <c r="X526" s="1">
        <v>0</v>
      </c>
      <c r="Y526" s="1">
        <v>9</v>
      </c>
    </row>
    <row r="527" spans="1:25" x14ac:dyDescent="0.25">
      <c r="A527" s="3">
        <v>515</v>
      </c>
      <c r="C527" s="7">
        <v>45955</v>
      </c>
      <c r="D527" s="3">
        <v>5015</v>
      </c>
      <c r="E527" s="1">
        <v>9203.6200000000008</v>
      </c>
      <c r="F527" s="3" t="s">
        <v>0</v>
      </c>
      <c r="G527" s="1">
        <v>320</v>
      </c>
      <c r="H527" s="2">
        <v>45956</v>
      </c>
      <c r="I527" s="2">
        <v>45956.09375</v>
      </c>
      <c r="J527" s="1">
        <f t="shared" si="12"/>
        <v>2.25</v>
      </c>
      <c r="K527" s="1">
        <v>142.22222222222223</v>
      </c>
      <c r="L527" s="1">
        <v>40</v>
      </c>
      <c r="M527" s="1">
        <v>0</v>
      </c>
      <c r="N527" s="1" t="s">
        <v>3</v>
      </c>
      <c r="O527" s="3"/>
      <c r="P527" s="16" t="s">
        <v>71</v>
      </c>
      <c r="S527" s="1"/>
      <c r="T527" s="1" t="s">
        <v>92</v>
      </c>
      <c r="U527" s="1">
        <v>0</v>
      </c>
      <c r="V527" s="1">
        <v>0</v>
      </c>
      <c r="W527" s="1">
        <v>0</v>
      </c>
      <c r="X527" s="1">
        <v>0</v>
      </c>
      <c r="Y527" s="1">
        <v>7</v>
      </c>
    </row>
    <row r="528" spans="1:25" x14ac:dyDescent="0.25">
      <c r="A528" s="3">
        <v>516</v>
      </c>
      <c r="C528" s="7">
        <v>45957</v>
      </c>
      <c r="D528" s="3">
        <v>5032</v>
      </c>
      <c r="E528" s="1">
        <v>9233.32</v>
      </c>
      <c r="F528" s="3" t="s">
        <v>0</v>
      </c>
      <c r="G528" s="1">
        <v>360</v>
      </c>
      <c r="H528" s="2">
        <v>45958.035416666666</v>
      </c>
      <c r="I528" s="2">
        <v>45958.177083333336</v>
      </c>
      <c r="J528" s="1">
        <f t="shared" si="12"/>
        <v>3.4000000000814907</v>
      </c>
      <c r="K528" s="1">
        <v>105.8823529386387</v>
      </c>
      <c r="L528" s="1">
        <v>40</v>
      </c>
      <c r="M528" s="1">
        <v>4.5</v>
      </c>
      <c r="N528" s="1" t="s">
        <v>3</v>
      </c>
      <c r="O528" s="3"/>
      <c r="P528" s="16" t="s">
        <v>71</v>
      </c>
      <c r="S528" s="1"/>
      <c r="T528" s="1" t="s">
        <v>92</v>
      </c>
      <c r="U528" s="1">
        <v>0</v>
      </c>
      <c r="V528" s="1">
        <v>0</v>
      </c>
      <c r="W528" s="1">
        <v>0</v>
      </c>
      <c r="X528" s="1">
        <v>0</v>
      </c>
      <c r="Y528" s="1">
        <v>9</v>
      </c>
    </row>
    <row r="529" spans="1:25" x14ac:dyDescent="0.25">
      <c r="A529" s="3">
        <v>517</v>
      </c>
      <c r="C529" s="7">
        <v>45958</v>
      </c>
      <c r="D529" s="3">
        <v>5049</v>
      </c>
      <c r="E529" s="1">
        <v>9263.9</v>
      </c>
      <c r="F529" s="3" t="s">
        <v>0</v>
      </c>
      <c r="G529" s="1">
        <v>320</v>
      </c>
      <c r="H529" s="2">
        <v>45958.604166666664</v>
      </c>
      <c r="I529" s="2">
        <v>45958.75</v>
      </c>
      <c r="J529" s="1">
        <f t="shared" si="12"/>
        <v>3.5000000000582077</v>
      </c>
      <c r="K529" s="1">
        <v>91.428571427050898</v>
      </c>
      <c r="L529" s="1">
        <v>40</v>
      </c>
      <c r="M529" s="1">
        <v>0</v>
      </c>
      <c r="N529" s="1" t="s">
        <v>3</v>
      </c>
      <c r="O529" s="3"/>
      <c r="P529" s="16" t="s">
        <v>7</v>
      </c>
      <c r="S529" s="1"/>
      <c r="T529" s="1" t="s">
        <v>92</v>
      </c>
      <c r="U529" s="1">
        <v>0</v>
      </c>
      <c r="V529" s="1">
        <v>0</v>
      </c>
      <c r="W529" s="1">
        <v>0</v>
      </c>
      <c r="X529" s="1">
        <v>0</v>
      </c>
      <c r="Y529" s="1">
        <v>8</v>
      </c>
    </row>
    <row r="530" spans="1:25" x14ac:dyDescent="0.25">
      <c r="A530" s="3">
        <v>518</v>
      </c>
      <c r="C530" s="7">
        <v>45959</v>
      </c>
      <c r="D530" s="3">
        <v>5067</v>
      </c>
      <c r="E530" s="1">
        <v>9296.4</v>
      </c>
      <c r="F530" s="3" t="s">
        <v>0</v>
      </c>
      <c r="G530" s="1">
        <v>293.39999999999998</v>
      </c>
      <c r="H530" s="2">
        <v>45959.625</v>
      </c>
      <c r="I530" s="2">
        <v>45959.927777777775</v>
      </c>
      <c r="J530" s="1">
        <f t="shared" si="12"/>
        <v>7.2666666666045785</v>
      </c>
      <c r="K530" s="1">
        <v>40.376146789335806</v>
      </c>
      <c r="L530" s="1">
        <v>40</v>
      </c>
      <c r="M530" s="1">
        <v>17</v>
      </c>
      <c r="N530" s="1" t="s">
        <v>3</v>
      </c>
      <c r="O530" s="3"/>
      <c r="P530" s="16" t="s">
        <v>7</v>
      </c>
      <c r="S530" s="1"/>
      <c r="T530" s="1" t="s">
        <v>92</v>
      </c>
      <c r="U530" s="1">
        <v>0</v>
      </c>
      <c r="V530" s="1">
        <v>0</v>
      </c>
      <c r="W530" s="1">
        <v>0</v>
      </c>
      <c r="X530" s="1">
        <v>0</v>
      </c>
      <c r="Y530" s="1">
        <v>9</v>
      </c>
    </row>
    <row r="531" spans="1:25" x14ac:dyDescent="0.25">
      <c r="A531" s="3">
        <v>519</v>
      </c>
      <c r="C531" s="7">
        <v>45960</v>
      </c>
      <c r="D531" s="3">
        <v>5081</v>
      </c>
      <c r="E531" s="1">
        <v>9321.5</v>
      </c>
      <c r="F531" s="3" t="s">
        <v>2</v>
      </c>
      <c r="G531" s="1">
        <v>560</v>
      </c>
      <c r="H531" s="2">
        <v>45960.680555555555</v>
      </c>
      <c r="I531" s="2">
        <v>45961.027777777781</v>
      </c>
      <c r="J531" s="1">
        <f t="shared" si="12"/>
        <v>8.3333333334303461</v>
      </c>
      <c r="K531" s="1">
        <v>67.199999999217695</v>
      </c>
      <c r="L531" s="1">
        <v>40</v>
      </c>
      <c r="M531" s="1">
        <v>15</v>
      </c>
      <c r="N531" s="1" t="s">
        <v>3</v>
      </c>
      <c r="O531" s="3"/>
      <c r="P531" s="16" t="s">
        <v>72</v>
      </c>
      <c r="Q531" s="2">
        <v>45961.049259259256</v>
      </c>
      <c r="R531" s="2">
        <v>45961.129826388889</v>
      </c>
      <c r="S531" s="1"/>
      <c r="T531" s="1" t="s">
        <v>87</v>
      </c>
      <c r="U531" s="1">
        <v>3848</v>
      </c>
      <c r="V531" s="1">
        <v>3038.4</v>
      </c>
      <c r="W531" s="1">
        <v>30.500000000000007</v>
      </c>
      <c r="X531" s="1">
        <v>89.799999999999983</v>
      </c>
      <c r="Y531" s="1">
        <v>17</v>
      </c>
    </row>
    <row r="532" spans="1:25" x14ac:dyDescent="0.25">
      <c r="A532" s="3">
        <v>520</v>
      </c>
      <c r="C532" s="7">
        <v>45961</v>
      </c>
      <c r="D532" s="3">
        <v>5095</v>
      </c>
      <c r="E532" s="1">
        <v>9346.69</v>
      </c>
      <c r="F532" s="3" t="s">
        <v>2</v>
      </c>
      <c r="G532" s="1">
        <v>720</v>
      </c>
      <c r="H532" s="2">
        <v>45961.673611111109</v>
      </c>
      <c r="I532" s="2">
        <v>45961.94027777778</v>
      </c>
      <c r="J532" s="1">
        <f t="shared" si="12"/>
        <v>6.4000000000814907</v>
      </c>
      <c r="K532" s="1">
        <v>112.49999999856755</v>
      </c>
      <c r="L532" s="1">
        <v>40</v>
      </c>
      <c r="M532" s="1">
        <v>21</v>
      </c>
      <c r="N532" s="1" t="s">
        <v>3</v>
      </c>
      <c r="O532" s="3"/>
      <c r="P532" s="16" t="s">
        <v>72</v>
      </c>
      <c r="Q532" s="2">
        <v>45961.947210648148</v>
      </c>
      <c r="R532" s="2">
        <v>45962.145277777781</v>
      </c>
      <c r="S532" s="1"/>
      <c r="T532" s="1" t="s">
        <v>87</v>
      </c>
      <c r="U532" s="1">
        <v>10219</v>
      </c>
      <c r="V532" s="1">
        <v>8523.4000000000015</v>
      </c>
      <c r="W532" s="1">
        <v>85.200000000000031</v>
      </c>
      <c r="X532" s="1">
        <v>251.50000000000011</v>
      </c>
      <c r="Y532" s="1">
        <v>18</v>
      </c>
    </row>
    <row r="533" spans="1:25" x14ac:dyDescent="0.25">
      <c r="A533" s="3">
        <v>521</v>
      </c>
      <c r="C533" s="7">
        <v>45964</v>
      </c>
      <c r="D533" s="3">
        <v>5109</v>
      </c>
      <c r="E533" s="1">
        <v>9372</v>
      </c>
      <c r="F533" s="3" t="s">
        <v>2</v>
      </c>
      <c r="G533" s="1">
        <v>720</v>
      </c>
      <c r="H533" s="2">
        <v>45964.574305555558</v>
      </c>
      <c r="I533" s="2">
        <v>45964.866666666669</v>
      </c>
      <c r="J533" s="1">
        <f t="shared" si="12"/>
        <v>7.0166666666627862</v>
      </c>
      <c r="K533" s="1">
        <v>102.61282660338216</v>
      </c>
      <c r="L533" s="1">
        <v>40</v>
      </c>
      <c r="M533" s="1">
        <v>0</v>
      </c>
      <c r="N533" s="1" t="s">
        <v>5</v>
      </c>
      <c r="O533" s="3"/>
      <c r="P533" s="16"/>
      <c r="Q533" s="2">
        <v>45964.868854166663</v>
      </c>
      <c r="R533" s="2">
        <v>45965.038923611108</v>
      </c>
      <c r="S533" s="1"/>
      <c r="T533" s="1" t="s">
        <v>87</v>
      </c>
      <c r="U533" s="1">
        <v>11760</v>
      </c>
      <c r="V533" s="1">
        <v>9966</v>
      </c>
      <c r="W533" s="1">
        <v>102</v>
      </c>
      <c r="X533" s="1">
        <v>300</v>
      </c>
      <c r="Y533" s="1">
        <v>18</v>
      </c>
    </row>
    <row r="534" spans="1:25" x14ac:dyDescent="0.25">
      <c r="A534" s="3">
        <v>522</v>
      </c>
      <c r="C534" s="7">
        <v>45965</v>
      </c>
      <c r="D534" s="3">
        <v>5126</v>
      </c>
      <c r="E534" s="1">
        <v>9403</v>
      </c>
      <c r="F534" s="3" t="s">
        <v>0</v>
      </c>
      <c r="G534" s="1">
        <v>360</v>
      </c>
      <c r="H534" s="2">
        <v>45965.524305555555</v>
      </c>
      <c r="I534" s="2">
        <v>45965.62222222222</v>
      </c>
      <c r="J534" s="1">
        <f t="shared" si="12"/>
        <v>2.3499999999767169</v>
      </c>
      <c r="K534" s="1">
        <v>153.19148936321989</v>
      </c>
      <c r="L534" s="1">
        <v>40</v>
      </c>
      <c r="M534" s="1">
        <v>2</v>
      </c>
      <c r="N534" s="1" t="s">
        <v>5</v>
      </c>
      <c r="O534" s="3"/>
      <c r="P534" s="16" t="s">
        <v>73</v>
      </c>
      <c r="S534" s="1"/>
      <c r="T534" s="1" t="s">
        <v>92</v>
      </c>
      <c r="U534" s="1">
        <v>0</v>
      </c>
      <c r="V534" s="1">
        <v>0</v>
      </c>
      <c r="W534" s="1">
        <v>0</v>
      </c>
      <c r="X534" s="1">
        <v>0</v>
      </c>
      <c r="Y534" s="1">
        <v>9</v>
      </c>
    </row>
    <row r="535" spans="1:25" x14ac:dyDescent="0.25">
      <c r="A535" s="3">
        <v>523</v>
      </c>
      <c r="C535" s="7">
        <v>45966</v>
      </c>
      <c r="D535" s="3">
        <v>5143</v>
      </c>
      <c r="E535" s="1">
        <v>9433.6200000000008</v>
      </c>
      <c r="F535" s="3" t="s">
        <v>0</v>
      </c>
      <c r="G535" s="1">
        <v>320</v>
      </c>
      <c r="H535" s="2">
        <v>45966.215277777781</v>
      </c>
      <c r="I535" s="2">
        <v>45966.336805555555</v>
      </c>
      <c r="J535" s="1">
        <f t="shared" si="12"/>
        <v>2.9166666665696539</v>
      </c>
      <c r="K535" s="1">
        <v>109.71428571793498</v>
      </c>
      <c r="L535" s="1">
        <v>40</v>
      </c>
      <c r="M535" s="1">
        <v>0</v>
      </c>
      <c r="N535" s="1" t="s">
        <v>5</v>
      </c>
      <c r="O535" s="3"/>
      <c r="P535" s="16"/>
      <c r="S535" s="1"/>
      <c r="T535" s="1" t="s">
        <v>92</v>
      </c>
      <c r="U535" s="1">
        <v>0</v>
      </c>
      <c r="V535" s="1">
        <v>0</v>
      </c>
      <c r="W535" s="1">
        <v>0</v>
      </c>
      <c r="X535" s="1">
        <v>0</v>
      </c>
      <c r="Y535" s="1">
        <v>9</v>
      </c>
    </row>
    <row r="536" spans="1:25" x14ac:dyDescent="0.25">
      <c r="A536" s="3">
        <v>524</v>
      </c>
      <c r="C536" s="7">
        <v>45966</v>
      </c>
      <c r="D536" s="3">
        <v>5159</v>
      </c>
      <c r="E536" s="1">
        <v>9463.4</v>
      </c>
      <c r="F536" s="3" t="s">
        <v>0</v>
      </c>
      <c r="G536" s="1">
        <v>299</v>
      </c>
      <c r="H536" s="2">
        <v>45966.857638888891</v>
      </c>
      <c r="I536" s="2">
        <v>45967.125</v>
      </c>
      <c r="J536" s="1">
        <f t="shared" si="12"/>
        <v>6.4166666666278616</v>
      </c>
      <c r="K536" s="1">
        <v>46.5974025976844</v>
      </c>
      <c r="L536" s="1">
        <v>40</v>
      </c>
      <c r="M536" s="1">
        <v>0</v>
      </c>
      <c r="N536" s="1" t="s">
        <v>5</v>
      </c>
      <c r="O536" s="3"/>
      <c r="P536" s="16" t="s">
        <v>74</v>
      </c>
      <c r="S536" s="1"/>
      <c r="T536" s="1" t="s">
        <v>92</v>
      </c>
      <c r="U536" s="1">
        <v>0</v>
      </c>
      <c r="V536" s="1">
        <v>0</v>
      </c>
      <c r="W536" s="1">
        <v>0</v>
      </c>
      <c r="X536" s="1">
        <v>0</v>
      </c>
      <c r="Y536" s="1">
        <v>9</v>
      </c>
    </row>
    <row r="537" spans="1:25" x14ac:dyDescent="0.25">
      <c r="A537" s="3">
        <v>525</v>
      </c>
      <c r="C537" s="7">
        <v>45967</v>
      </c>
      <c r="D537" s="3">
        <v>5176</v>
      </c>
      <c r="E537" s="1">
        <v>9493.2000000000007</v>
      </c>
      <c r="F537" s="3" t="s">
        <v>0</v>
      </c>
      <c r="G537" s="1">
        <v>320</v>
      </c>
      <c r="H537" s="2">
        <v>45967.5625</v>
      </c>
      <c r="I537" s="2">
        <v>45967.652777777781</v>
      </c>
      <c r="J537" s="1">
        <f t="shared" si="12"/>
        <v>2.1666666667442769</v>
      </c>
      <c r="K537" s="1">
        <v>147.69230768701735</v>
      </c>
      <c r="L537" s="1">
        <v>40</v>
      </c>
      <c r="M537" s="1">
        <v>6.5</v>
      </c>
      <c r="N537" s="1" t="s">
        <v>5</v>
      </c>
      <c r="O537" s="3"/>
      <c r="P537" s="16"/>
      <c r="S537" s="1"/>
      <c r="T537" s="1" t="s">
        <v>92</v>
      </c>
      <c r="U537" s="1">
        <v>0</v>
      </c>
      <c r="V537" s="1">
        <v>0</v>
      </c>
      <c r="W537" s="1">
        <v>0</v>
      </c>
      <c r="X537" s="1">
        <v>0</v>
      </c>
      <c r="Y537" s="1">
        <v>9</v>
      </c>
    </row>
    <row r="538" spans="1:25" x14ac:dyDescent="0.25">
      <c r="A538" s="3">
        <v>526</v>
      </c>
      <c r="C538" s="7">
        <v>45967</v>
      </c>
      <c r="D538" s="3">
        <v>5193</v>
      </c>
      <c r="E538" s="1">
        <v>9523.7999999999993</v>
      </c>
      <c r="F538" s="3" t="s">
        <v>0</v>
      </c>
      <c r="G538" s="1">
        <v>344</v>
      </c>
      <c r="H538" s="2">
        <v>45968.079861111109</v>
      </c>
      <c r="I538" s="2">
        <v>45968.197916666664</v>
      </c>
      <c r="J538" s="1">
        <f t="shared" si="12"/>
        <v>2.8333333333139308</v>
      </c>
      <c r="K538" s="1">
        <v>121.41176470671378</v>
      </c>
      <c r="L538" s="1">
        <v>40</v>
      </c>
      <c r="M538" s="1">
        <v>9</v>
      </c>
      <c r="N538" s="1" t="s">
        <v>3</v>
      </c>
      <c r="O538" s="3"/>
      <c r="P538" s="16" t="s">
        <v>7</v>
      </c>
      <c r="S538" s="1"/>
      <c r="T538" s="1" t="s">
        <v>92</v>
      </c>
      <c r="U538" s="1">
        <v>0</v>
      </c>
      <c r="V538" s="1">
        <v>0</v>
      </c>
      <c r="W538" s="1">
        <v>0</v>
      </c>
      <c r="X538" s="1">
        <v>0</v>
      </c>
      <c r="Y538" s="1">
        <v>9</v>
      </c>
    </row>
    <row r="539" spans="1:25" x14ac:dyDescent="0.25">
      <c r="A539" s="3">
        <v>527</v>
      </c>
      <c r="C539" s="7">
        <v>45968</v>
      </c>
      <c r="D539" s="3">
        <v>5209</v>
      </c>
      <c r="E539" s="1">
        <v>9552</v>
      </c>
      <c r="F539" s="3" t="s">
        <v>0</v>
      </c>
      <c r="G539" s="1">
        <v>240</v>
      </c>
      <c r="H539" s="2">
        <v>45968.657638888886</v>
      </c>
      <c r="I539" s="2">
        <v>45968.756249999999</v>
      </c>
      <c r="J539" s="1">
        <f t="shared" si="12"/>
        <v>2.3666666666977108</v>
      </c>
      <c r="K539" s="1">
        <v>101.40845070289515</v>
      </c>
      <c r="L539" s="1">
        <v>40</v>
      </c>
      <c r="M539" s="1">
        <v>0</v>
      </c>
      <c r="N539" s="1" t="s">
        <v>5</v>
      </c>
      <c r="O539" s="3"/>
      <c r="P539" s="16" t="s">
        <v>75</v>
      </c>
      <c r="S539" s="1"/>
      <c r="T539" s="1" t="s">
        <v>92</v>
      </c>
      <c r="U539" s="1">
        <v>0</v>
      </c>
      <c r="V539" s="1">
        <v>0</v>
      </c>
      <c r="W539" s="1">
        <v>0</v>
      </c>
      <c r="X539" s="1">
        <v>0</v>
      </c>
      <c r="Y539" s="1">
        <v>6</v>
      </c>
    </row>
    <row r="540" spans="1:25" x14ac:dyDescent="0.25">
      <c r="A540" s="3">
        <v>528</v>
      </c>
      <c r="C540" s="7">
        <v>45969</v>
      </c>
      <c r="D540" s="3">
        <v>5226</v>
      </c>
      <c r="E540" s="1">
        <v>9583.2000000000007</v>
      </c>
      <c r="F540" s="3" t="s">
        <v>0</v>
      </c>
      <c r="G540" s="1">
        <v>240</v>
      </c>
      <c r="H540" s="2">
        <v>45969.673611111109</v>
      </c>
      <c r="I540" s="2">
        <v>45969.795138888891</v>
      </c>
      <c r="J540" s="1">
        <f t="shared" si="12"/>
        <v>2.9166666667442769</v>
      </c>
      <c r="K540" s="1">
        <v>82.285714283524726</v>
      </c>
      <c r="L540" s="1">
        <v>40</v>
      </c>
      <c r="M540" s="1">
        <v>0</v>
      </c>
      <c r="N540" s="1" t="s">
        <v>3</v>
      </c>
      <c r="O540" s="3"/>
      <c r="P540" s="16" t="s">
        <v>54</v>
      </c>
      <c r="S540" s="1"/>
      <c r="T540" s="1" t="s">
        <v>92</v>
      </c>
      <c r="U540" s="1">
        <v>0</v>
      </c>
      <c r="V540" s="1">
        <v>0</v>
      </c>
      <c r="W540" s="1">
        <v>0</v>
      </c>
      <c r="X540" s="1">
        <v>0</v>
      </c>
      <c r="Y540" s="1">
        <v>6</v>
      </c>
    </row>
    <row r="541" spans="1:25" x14ac:dyDescent="0.25">
      <c r="A541" s="3">
        <v>529</v>
      </c>
      <c r="C541" s="7">
        <v>45971</v>
      </c>
      <c r="D541" s="3">
        <v>5242</v>
      </c>
      <c r="E541" s="1">
        <v>9613</v>
      </c>
      <c r="F541" s="3" t="s">
        <v>0</v>
      </c>
      <c r="G541" s="1">
        <v>240</v>
      </c>
      <c r="H541" s="2">
        <v>45971.631944444445</v>
      </c>
      <c r="I541" s="2">
        <v>45971.694444444445</v>
      </c>
      <c r="J541" s="1">
        <f t="shared" si="12"/>
        <v>1.5</v>
      </c>
      <c r="K541" s="1">
        <v>160</v>
      </c>
      <c r="L541" s="1">
        <v>40</v>
      </c>
      <c r="M541" s="1">
        <v>0</v>
      </c>
      <c r="N541" s="1" t="s">
        <v>5</v>
      </c>
      <c r="O541" s="3"/>
      <c r="P541" s="16" t="s">
        <v>76</v>
      </c>
      <c r="S541" s="1"/>
      <c r="T541" s="1" t="s">
        <v>92</v>
      </c>
      <c r="U541" s="1">
        <v>0</v>
      </c>
      <c r="V541" s="1">
        <v>0</v>
      </c>
      <c r="W541" s="1">
        <v>0</v>
      </c>
      <c r="X541" s="1">
        <v>0</v>
      </c>
      <c r="Y541" s="1">
        <v>6</v>
      </c>
    </row>
    <row r="542" spans="1:25" x14ac:dyDescent="0.25">
      <c r="A542" s="3">
        <v>530</v>
      </c>
      <c r="C542" s="7">
        <v>45972</v>
      </c>
      <c r="D542" s="3">
        <v>5260</v>
      </c>
      <c r="E542" s="1">
        <v>9643.7000000000007</v>
      </c>
      <c r="F542" s="3" t="s">
        <v>0</v>
      </c>
      <c r="G542" s="1">
        <v>240</v>
      </c>
      <c r="H542" s="2">
        <v>45972.40625</v>
      </c>
      <c r="I542" s="2">
        <v>45972.482638888891</v>
      </c>
      <c r="J542" s="1">
        <f t="shared" si="12"/>
        <v>1.8333333333721384</v>
      </c>
      <c r="K542" s="1">
        <v>130.90909090632005</v>
      </c>
      <c r="L542" s="1">
        <v>40</v>
      </c>
      <c r="M542" s="1">
        <v>0</v>
      </c>
      <c r="N542" s="1" t="s">
        <v>5</v>
      </c>
      <c r="O542" s="3"/>
      <c r="P542" s="16" t="s">
        <v>77</v>
      </c>
      <c r="S542" s="1"/>
      <c r="T542" s="1" t="s">
        <v>92</v>
      </c>
      <c r="U542" s="1">
        <v>0</v>
      </c>
      <c r="V542" s="1">
        <v>0</v>
      </c>
      <c r="W542" s="1">
        <v>0</v>
      </c>
      <c r="X542" s="1">
        <v>0</v>
      </c>
      <c r="Y542" s="1">
        <v>6</v>
      </c>
    </row>
    <row r="543" spans="1:25" x14ac:dyDescent="0.25">
      <c r="A543" s="3">
        <v>531</v>
      </c>
      <c r="C543" s="7">
        <v>45973</v>
      </c>
      <c r="D543" s="3">
        <v>5277</v>
      </c>
      <c r="E543" s="1">
        <v>9674.2999999999993</v>
      </c>
      <c r="F543" s="3" t="s">
        <v>0</v>
      </c>
      <c r="G543" s="1">
        <v>240</v>
      </c>
      <c r="H543" s="2">
        <v>45973.263194444444</v>
      </c>
      <c r="I543" s="2">
        <v>45973.326388888891</v>
      </c>
      <c r="J543" s="1">
        <f t="shared" si="12"/>
        <v>1.5166666667209938</v>
      </c>
      <c r="K543" s="1">
        <v>158.24175823608999</v>
      </c>
      <c r="L543" s="1">
        <v>40</v>
      </c>
      <c r="M543" s="1">
        <v>0</v>
      </c>
      <c r="N543" s="1" t="s">
        <v>5</v>
      </c>
      <c r="O543" s="3"/>
      <c r="P543" s="16" t="s">
        <v>78</v>
      </c>
      <c r="S543" s="1"/>
      <c r="T543" s="1" t="s">
        <v>92</v>
      </c>
      <c r="U543" s="1">
        <v>0</v>
      </c>
      <c r="V543" s="1">
        <v>0</v>
      </c>
      <c r="W543" s="1">
        <v>0</v>
      </c>
      <c r="X543" s="1">
        <v>0</v>
      </c>
      <c r="Y543" s="1">
        <v>6</v>
      </c>
    </row>
    <row r="544" spans="1:25" x14ac:dyDescent="0.25">
      <c r="A544" s="3">
        <v>532</v>
      </c>
      <c r="C544" s="7">
        <v>45973</v>
      </c>
      <c r="D544" s="3">
        <v>5294</v>
      </c>
      <c r="E544" s="1">
        <v>9705.6</v>
      </c>
      <c r="F544" s="3" t="s">
        <v>0</v>
      </c>
      <c r="G544" s="1">
        <v>360</v>
      </c>
      <c r="H544" s="2">
        <v>45974.025694444441</v>
      </c>
      <c r="I544" s="2">
        <v>45974.121527777781</v>
      </c>
      <c r="J544" s="1">
        <f t="shared" si="12"/>
        <v>2.3000000001629815</v>
      </c>
      <c r="K544" s="1">
        <v>156.52173911934341</v>
      </c>
      <c r="L544" s="1">
        <v>40</v>
      </c>
      <c r="M544" s="1">
        <v>0</v>
      </c>
      <c r="N544" s="1" t="s">
        <v>5</v>
      </c>
      <c r="O544" s="3"/>
      <c r="P544" s="16">
        <v>40</v>
      </c>
      <c r="S544" s="1"/>
      <c r="T544" s="1" t="s">
        <v>92</v>
      </c>
      <c r="U544" s="1">
        <v>0</v>
      </c>
      <c r="V544" s="1">
        <v>0</v>
      </c>
      <c r="W544" s="1">
        <v>0</v>
      </c>
      <c r="X544" s="1">
        <v>0</v>
      </c>
      <c r="Y544" s="1">
        <v>9</v>
      </c>
    </row>
    <row r="545" spans="1:25" x14ac:dyDescent="0.25">
      <c r="A545" s="3">
        <v>533</v>
      </c>
      <c r="C545" s="7">
        <v>45974</v>
      </c>
      <c r="D545" s="3">
        <v>5311</v>
      </c>
      <c r="E545" s="1">
        <v>9736</v>
      </c>
      <c r="F545" s="3" t="s">
        <v>2</v>
      </c>
      <c r="G545" s="1">
        <v>478.5</v>
      </c>
      <c r="H545" s="2">
        <v>45974.86041666667</v>
      </c>
      <c r="I545" s="2">
        <v>45975.01666666667</v>
      </c>
      <c r="J545" s="1">
        <f t="shared" si="12"/>
        <v>3.75</v>
      </c>
      <c r="K545" s="1">
        <v>127.6</v>
      </c>
      <c r="L545" s="1">
        <v>40</v>
      </c>
      <c r="M545" s="1">
        <v>58</v>
      </c>
      <c r="N545" s="1" t="s">
        <v>3</v>
      </c>
      <c r="O545" s="3"/>
      <c r="P545" s="16" t="s">
        <v>56</v>
      </c>
      <c r="Q545" s="2">
        <v>45975.023344907408</v>
      </c>
      <c r="R545" s="2">
        <v>45975.213993055557</v>
      </c>
      <c r="S545" s="1"/>
      <c r="T545" s="1" t="s">
        <v>87</v>
      </c>
      <c r="U545" s="1">
        <v>16486</v>
      </c>
      <c r="V545" s="1">
        <v>12243</v>
      </c>
      <c r="W545" s="1">
        <v>123</v>
      </c>
      <c r="X545" s="1">
        <v>362</v>
      </c>
      <c r="Y545" s="1">
        <v>12</v>
      </c>
    </row>
    <row r="546" spans="1:25" x14ac:dyDescent="0.25">
      <c r="A546" s="3">
        <v>534</v>
      </c>
      <c r="C546" s="7">
        <v>45975</v>
      </c>
      <c r="D546" s="3">
        <v>5325</v>
      </c>
      <c r="E546" s="1">
        <v>9760.7999999999993</v>
      </c>
      <c r="F546" s="3" t="s">
        <v>2</v>
      </c>
      <c r="G546" s="1">
        <v>480</v>
      </c>
      <c r="H546" s="2">
        <v>45975.666666666664</v>
      </c>
      <c r="I546" s="2">
        <v>45975.820138888892</v>
      </c>
      <c r="J546" s="1">
        <f t="shared" si="12"/>
        <v>3.6833333334652707</v>
      </c>
      <c r="K546" s="1">
        <v>130.31674207678</v>
      </c>
      <c r="L546" s="1">
        <v>40</v>
      </c>
      <c r="M546" s="1">
        <v>21</v>
      </c>
      <c r="N546" s="1" t="s">
        <v>5</v>
      </c>
      <c r="O546" s="3"/>
      <c r="P546" s="16"/>
      <c r="Q546" s="2">
        <v>45975.824687499997</v>
      </c>
      <c r="R546" s="2">
        <v>45975.966493055559</v>
      </c>
      <c r="S546" s="1"/>
      <c r="T546" s="1" t="s">
        <v>87</v>
      </c>
      <c r="U546" s="1">
        <v>11252</v>
      </c>
      <c r="V546" s="1">
        <v>8329</v>
      </c>
      <c r="W546" s="1">
        <v>83.7</v>
      </c>
      <c r="X546" s="1">
        <v>246.2</v>
      </c>
      <c r="Y546" s="1">
        <v>12</v>
      </c>
    </row>
    <row r="547" spans="1:25" x14ac:dyDescent="0.25">
      <c r="A547" s="3">
        <v>535</v>
      </c>
      <c r="C547" s="7">
        <v>45976</v>
      </c>
      <c r="D547" s="3">
        <v>5337</v>
      </c>
      <c r="E547" s="1">
        <v>9782</v>
      </c>
      <c r="F547" s="3" t="s">
        <v>0</v>
      </c>
      <c r="G547" s="1">
        <v>324</v>
      </c>
      <c r="H547" s="2">
        <v>45976.559027777781</v>
      </c>
      <c r="I547" s="2">
        <v>45976.666666666664</v>
      </c>
      <c r="J547" s="1">
        <f t="shared" si="12"/>
        <v>2.5833333331975155</v>
      </c>
      <c r="K547" s="1">
        <v>125.41935484530356</v>
      </c>
      <c r="L547" s="1">
        <v>36</v>
      </c>
      <c r="M547" s="1">
        <v>1</v>
      </c>
      <c r="N547" s="1" t="s">
        <v>3</v>
      </c>
      <c r="O547" s="3"/>
      <c r="P547" s="16" t="s">
        <v>54</v>
      </c>
      <c r="S547" s="1"/>
      <c r="T547" s="1" t="s">
        <v>92</v>
      </c>
      <c r="U547" s="1">
        <v>0</v>
      </c>
      <c r="V547" s="1">
        <v>0</v>
      </c>
      <c r="W547" s="1">
        <v>0</v>
      </c>
      <c r="X547" s="1">
        <v>0</v>
      </c>
      <c r="Y547" s="1">
        <v>9</v>
      </c>
    </row>
    <row r="548" spans="1:25" x14ac:dyDescent="0.25">
      <c r="A548" s="3">
        <v>536</v>
      </c>
      <c r="C548" s="7">
        <v>45978</v>
      </c>
      <c r="D548" s="3">
        <v>5349</v>
      </c>
      <c r="E548" s="1">
        <v>9804</v>
      </c>
      <c r="F548" s="3" t="s">
        <v>0</v>
      </c>
      <c r="G548" s="1">
        <v>380</v>
      </c>
      <c r="H548" s="2">
        <v>45978.309027777781</v>
      </c>
      <c r="I548" s="2">
        <v>45978.404166666667</v>
      </c>
      <c r="J548" s="1">
        <f t="shared" si="12"/>
        <v>2.2833333332673647</v>
      </c>
      <c r="K548" s="1">
        <v>166.42335766904179</v>
      </c>
      <c r="L548" s="1">
        <v>40</v>
      </c>
      <c r="M548" s="1">
        <v>0</v>
      </c>
      <c r="N548" s="1" t="s">
        <v>5</v>
      </c>
      <c r="O548" s="3"/>
      <c r="P548" s="16"/>
      <c r="S548" s="1"/>
      <c r="T548" s="1" t="s">
        <v>92</v>
      </c>
      <c r="U548" s="1">
        <v>0</v>
      </c>
      <c r="V548" s="1">
        <v>0</v>
      </c>
      <c r="W548" s="1">
        <v>0</v>
      </c>
      <c r="X548" s="1">
        <v>0</v>
      </c>
      <c r="Y548" s="1">
        <v>9</v>
      </c>
    </row>
    <row r="549" spans="1:25" x14ac:dyDescent="0.25">
      <c r="A549" s="3">
        <v>537</v>
      </c>
      <c r="C549" s="7">
        <v>45979</v>
      </c>
      <c r="D549" s="3">
        <v>5363</v>
      </c>
      <c r="E549" s="1">
        <v>9829.14</v>
      </c>
      <c r="F549" s="3" t="s">
        <v>0</v>
      </c>
      <c r="G549" s="1">
        <v>240</v>
      </c>
      <c r="H549" s="2">
        <v>45979.708333333336</v>
      </c>
      <c r="I549" s="2">
        <v>45979.770833333336</v>
      </c>
      <c r="J549" s="1">
        <f t="shared" si="12"/>
        <v>1.5</v>
      </c>
      <c r="K549" s="1">
        <v>160</v>
      </c>
      <c r="L549" s="1">
        <v>40</v>
      </c>
      <c r="M549" s="1">
        <v>0</v>
      </c>
      <c r="N549" s="1" t="s">
        <v>5</v>
      </c>
      <c r="O549" s="3"/>
      <c r="P549" s="16"/>
      <c r="S549" s="1"/>
      <c r="T549" s="1" t="s">
        <v>92</v>
      </c>
      <c r="U549" s="1">
        <v>0</v>
      </c>
      <c r="V549" s="1">
        <v>0</v>
      </c>
      <c r="W549" s="1">
        <v>0</v>
      </c>
      <c r="X549" s="1">
        <v>0</v>
      </c>
      <c r="Y549" s="1">
        <v>6</v>
      </c>
    </row>
    <row r="550" spans="1:25" x14ac:dyDescent="0.25">
      <c r="A550" s="3">
        <v>538</v>
      </c>
      <c r="C550" s="7">
        <v>45980</v>
      </c>
      <c r="D550" s="3">
        <v>5380</v>
      </c>
      <c r="E550" s="1">
        <v>9859.7000000000007</v>
      </c>
      <c r="F550" s="3" t="s">
        <v>0</v>
      </c>
      <c r="G550" s="1">
        <v>240</v>
      </c>
      <c r="H550" s="2">
        <v>45981.024305555555</v>
      </c>
      <c r="I550" s="2">
        <v>45981.097222222219</v>
      </c>
      <c r="J550" s="1">
        <f t="shared" si="12"/>
        <v>1.7499999999417923</v>
      </c>
      <c r="K550" s="1">
        <v>137.14285714741871</v>
      </c>
      <c r="L550" s="1">
        <v>40</v>
      </c>
      <c r="M550" s="1">
        <v>3</v>
      </c>
      <c r="N550" s="1" t="s">
        <v>5</v>
      </c>
      <c r="O550" s="3"/>
      <c r="P550" s="16"/>
      <c r="S550" s="1"/>
      <c r="T550" s="1" t="s">
        <v>92</v>
      </c>
      <c r="U550" s="1">
        <v>0</v>
      </c>
      <c r="V550" s="1">
        <v>0</v>
      </c>
      <c r="W550" s="1">
        <v>0</v>
      </c>
      <c r="X550" s="1">
        <v>0</v>
      </c>
      <c r="Y550" s="1">
        <v>6</v>
      </c>
    </row>
    <row r="551" spans="1:25" x14ac:dyDescent="0.25">
      <c r="A551" s="3">
        <v>539</v>
      </c>
      <c r="C551" s="7">
        <v>45981</v>
      </c>
      <c r="D551" s="3">
        <v>5397</v>
      </c>
      <c r="E551" s="1">
        <v>9890.1</v>
      </c>
      <c r="F551" s="3" t="s">
        <v>0</v>
      </c>
      <c r="G551" s="1">
        <v>240</v>
      </c>
      <c r="H551" s="2">
        <v>45981.742361111108</v>
      </c>
      <c r="I551" s="2">
        <v>45981.826388888891</v>
      </c>
      <c r="J551" s="1">
        <f t="shared" si="12"/>
        <v>2.0166666667792015</v>
      </c>
      <c r="K551" s="1">
        <v>119.00826445616897</v>
      </c>
      <c r="L551" s="1">
        <v>40</v>
      </c>
      <c r="M551" s="1">
        <v>7</v>
      </c>
      <c r="N551" s="1" t="s">
        <v>5</v>
      </c>
      <c r="O551" s="3"/>
      <c r="P551" s="16"/>
      <c r="S551" s="1"/>
      <c r="T551" s="1" t="s">
        <v>92</v>
      </c>
      <c r="U551" s="1">
        <v>0</v>
      </c>
      <c r="V551" s="1">
        <v>0</v>
      </c>
      <c r="W551" s="1">
        <v>0</v>
      </c>
      <c r="X551" s="1">
        <v>0</v>
      </c>
      <c r="Y551" s="1">
        <v>6</v>
      </c>
    </row>
    <row r="552" spans="1:25" x14ac:dyDescent="0.25">
      <c r="A552" s="3">
        <v>540</v>
      </c>
      <c r="C552" s="7">
        <v>45982</v>
      </c>
      <c r="D552" s="3">
        <v>5414</v>
      </c>
      <c r="E552" s="1">
        <v>9920.5</v>
      </c>
      <c r="F552" s="3" t="s">
        <v>0</v>
      </c>
      <c r="G552" s="1">
        <v>240</v>
      </c>
      <c r="H552" s="2">
        <v>45982.319444444445</v>
      </c>
      <c r="I552" s="2">
        <v>45982.397916666669</v>
      </c>
      <c r="J552" s="1">
        <f t="shared" si="12"/>
        <v>1.8833333333604969</v>
      </c>
      <c r="K552" s="1">
        <v>127.43362831674608</v>
      </c>
      <c r="L552" s="1">
        <v>40</v>
      </c>
      <c r="M552" s="1">
        <v>4.5</v>
      </c>
      <c r="N552" s="1" t="s">
        <v>5</v>
      </c>
      <c r="O552" s="3"/>
      <c r="P552" s="16"/>
      <c r="S552" s="1"/>
      <c r="T552" s="1" t="s">
        <v>92</v>
      </c>
      <c r="U552" s="1">
        <v>0</v>
      </c>
      <c r="V552" s="1">
        <v>0</v>
      </c>
      <c r="W552" s="1">
        <v>0</v>
      </c>
      <c r="X552" s="1">
        <v>0</v>
      </c>
      <c r="Y552" s="1">
        <v>6</v>
      </c>
    </row>
    <row r="553" spans="1:25" x14ac:dyDescent="0.25">
      <c r="A553" s="3">
        <v>541</v>
      </c>
      <c r="C553" s="7">
        <v>45982</v>
      </c>
      <c r="D553" s="3">
        <v>5431</v>
      </c>
      <c r="E553" s="1">
        <v>9951.6</v>
      </c>
      <c r="F553" s="3" t="s">
        <v>0</v>
      </c>
      <c r="G553" s="1">
        <v>240</v>
      </c>
      <c r="H553" s="2">
        <v>45982.989583333336</v>
      </c>
      <c r="I553" s="2">
        <v>45983.055555555555</v>
      </c>
      <c r="J553" s="1">
        <f t="shared" si="12"/>
        <v>1.5833333332557231</v>
      </c>
      <c r="K553" s="1">
        <v>151.57894737585099</v>
      </c>
      <c r="L553" s="1">
        <v>40</v>
      </c>
      <c r="M553" s="1">
        <v>9</v>
      </c>
      <c r="N553" s="1" t="s">
        <v>5</v>
      </c>
      <c r="O553" s="3"/>
      <c r="P553" s="16"/>
      <c r="S553" s="1"/>
      <c r="T553" s="1" t="s">
        <v>92</v>
      </c>
      <c r="U553" s="1">
        <v>0</v>
      </c>
      <c r="V553" s="1">
        <v>0</v>
      </c>
      <c r="W553" s="1">
        <v>0</v>
      </c>
      <c r="X553" s="1">
        <v>0</v>
      </c>
      <c r="Y553" s="1">
        <v>6</v>
      </c>
    </row>
    <row r="554" spans="1:25" x14ac:dyDescent="0.25">
      <c r="A554" s="3">
        <v>542</v>
      </c>
      <c r="C554" s="7">
        <v>45983</v>
      </c>
      <c r="D554" s="3">
        <v>5448</v>
      </c>
      <c r="E554" s="1">
        <v>9982.15</v>
      </c>
      <c r="F554" s="3" t="s">
        <v>0</v>
      </c>
      <c r="G554" s="1">
        <v>240</v>
      </c>
      <c r="H554" s="2">
        <v>45983.736111111109</v>
      </c>
      <c r="I554" s="2">
        <v>45983.798611111109</v>
      </c>
      <c r="J554" s="1">
        <f t="shared" si="12"/>
        <v>1.5</v>
      </c>
      <c r="K554" s="1">
        <v>160</v>
      </c>
      <c r="L554" s="1">
        <v>40</v>
      </c>
      <c r="M554" s="1">
        <v>5</v>
      </c>
      <c r="N554" s="1" t="s">
        <v>5</v>
      </c>
      <c r="O554" s="3"/>
      <c r="P554" s="16"/>
      <c r="S554" s="1"/>
      <c r="T554" s="1" t="s">
        <v>92</v>
      </c>
      <c r="U554" s="1">
        <v>0</v>
      </c>
      <c r="V554" s="1">
        <v>0</v>
      </c>
      <c r="W554" s="1">
        <v>0</v>
      </c>
      <c r="X554" s="1">
        <v>0</v>
      </c>
      <c r="Y554" s="1">
        <v>6</v>
      </c>
    </row>
    <row r="555" spans="1:25" x14ac:dyDescent="0.25">
      <c r="A555" s="3">
        <v>543</v>
      </c>
      <c r="C555" s="7">
        <v>45985</v>
      </c>
      <c r="D555" s="3">
        <v>5465</v>
      </c>
      <c r="E555" s="1">
        <v>10013</v>
      </c>
      <c r="F555" s="3" t="s">
        <v>0</v>
      </c>
      <c r="G555" s="1">
        <v>240</v>
      </c>
      <c r="H555" s="2">
        <v>45985.618055555555</v>
      </c>
      <c r="I555" s="2">
        <v>45985.690972222219</v>
      </c>
      <c r="J555" s="1">
        <f t="shared" si="12"/>
        <v>1.7499999999417923</v>
      </c>
      <c r="K555" s="1">
        <v>137.14285714741871</v>
      </c>
      <c r="L555" s="1">
        <v>40</v>
      </c>
      <c r="M555" s="1">
        <v>2</v>
      </c>
      <c r="N555" s="1" t="s">
        <v>5</v>
      </c>
      <c r="O555" s="3"/>
      <c r="P555" s="16"/>
      <c r="S555" s="1"/>
      <c r="T555" s="1" t="s">
        <v>92</v>
      </c>
      <c r="U555" s="1">
        <v>0</v>
      </c>
      <c r="V555" s="1">
        <v>0</v>
      </c>
      <c r="W555" s="1">
        <v>0</v>
      </c>
      <c r="X555" s="1">
        <v>0</v>
      </c>
      <c r="Y555" s="1">
        <v>6</v>
      </c>
    </row>
    <row r="556" spans="1:25" x14ac:dyDescent="0.25">
      <c r="A556" s="3">
        <v>544</v>
      </c>
      <c r="C556" s="7">
        <v>45986</v>
      </c>
      <c r="D556" s="3">
        <v>5483</v>
      </c>
      <c r="E556" s="1">
        <v>10045.91</v>
      </c>
      <c r="F556" s="3" t="s">
        <v>2</v>
      </c>
      <c r="G556" s="1">
        <v>240</v>
      </c>
      <c r="H556" s="2">
        <v>45986.268750000003</v>
      </c>
      <c r="I556" s="2">
        <v>45986.409722222219</v>
      </c>
      <c r="J556" s="1">
        <f t="shared" si="12"/>
        <v>3.3833333331858739</v>
      </c>
      <c r="K556" s="1">
        <v>70.935960594224682</v>
      </c>
      <c r="L556" s="1">
        <v>40</v>
      </c>
      <c r="M556" s="1">
        <v>20</v>
      </c>
      <c r="N556" s="1" t="s">
        <v>3</v>
      </c>
      <c r="O556" s="3"/>
      <c r="P556" s="16" t="s">
        <v>33</v>
      </c>
      <c r="Q556" s="2">
        <v>45986.422766203701</v>
      </c>
      <c r="R556" s="2">
        <v>45986.497824074075</v>
      </c>
      <c r="S556" s="1"/>
      <c r="T556" s="1" t="s">
        <v>87</v>
      </c>
      <c r="U556" s="1">
        <v>5903</v>
      </c>
      <c r="V556" s="1">
        <v>5184</v>
      </c>
      <c r="W556" s="1">
        <v>52</v>
      </c>
      <c r="X556" s="1">
        <v>127</v>
      </c>
      <c r="Y556" s="1">
        <v>6</v>
      </c>
    </row>
    <row r="557" spans="1:25" x14ac:dyDescent="0.25">
      <c r="A557" s="3">
        <v>545</v>
      </c>
      <c r="C557" s="7">
        <v>45986</v>
      </c>
      <c r="D557" s="3">
        <v>5497</v>
      </c>
      <c r="E557" s="1">
        <v>10070.700000000001</v>
      </c>
      <c r="F557" s="3" t="s">
        <v>0</v>
      </c>
      <c r="G557" s="1">
        <v>240</v>
      </c>
      <c r="H557" s="2">
        <v>45987.056250000001</v>
      </c>
      <c r="I557" s="2">
        <v>45987.138888888891</v>
      </c>
      <c r="J557" s="1">
        <f t="shared" si="12"/>
        <v>1.9833333333372138</v>
      </c>
      <c r="K557" s="1">
        <v>121.00840336110778</v>
      </c>
      <c r="L557" s="1">
        <v>40</v>
      </c>
      <c r="M557" s="1">
        <v>6</v>
      </c>
      <c r="N557" s="1" t="s">
        <v>3</v>
      </c>
      <c r="O557" s="3"/>
      <c r="P557" s="16" t="s">
        <v>7</v>
      </c>
      <c r="S557" s="1"/>
      <c r="T557" s="1" t="s">
        <v>92</v>
      </c>
      <c r="U557" s="1">
        <v>0</v>
      </c>
      <c r="V557" s="1">
        <v>0</v>
      </c>
      <c r="W557" s="1">
        <v>0</v>
      </c>
      <c r="X557" s="1">
        <v>0</v>
      </c>
      <c r="Y557" s="1">
        <v>6</v>
      </c>
    </row>
    <row r="558" spans="1:25" x14ac:dyDescent="0.25">
      <c r="A558" s="3">
        <v>546</v>
      </c>
      <c r="C558" s="7">
        <v>45987</v>
      </c>
      <c r="D558" s="3">
        <v>5514</v>
      </c>
      <c r="E558" s="1">
        <v>10101</v>
      </c>
      <c r="F558" s="3" t="s">
        <v>0</v>
      </c>
      <c r="G558" s="1">
        <v>240</v>
      </c>
      <c r="H558" s="2">
        <v>45987.805555555555</v>
      </c>
      <c r="I558" s="2">
        <v>45987.895833333336</v>
      </c>
      <c r="J558" s="1">
        <f t="shared" si="12"/>
        <v>2.1666666667442769</v>
      </c>
      <c r="K558" s="1">
        <v>110.769230765263</v>
      </c>
      <c r="L558" s="1">
        <v>40</v>
      </c>
      <c r="M558" s="1">
        <v>0</v>
      </c>
      <c r="N558" s="1" t="s">
        <v>3</v>
      </c>
      <c r="O558" s="3"/>
      <c r="P558" s="16" t="s">
        <v>7</v>
      </c>
      <c r="S558" s="1"/>
      <c r="T558" s="1" t="s">
        <v>92</v>
      </c>
      <c r="U558" s="1">
        <v>0</v>
      </c>
      <c r="V558" s="1">
        <v>0</v>
      </c>
      <c r="W558" s="1">
        <v>0</v>
      </c>
      <c r="X558" s="1">
        <v>0</v>
      </c>
      <c r="Y558" s="1">
        <v>6</v>
      </c>
    </row>
    <row r="559" spans="1:25" x14ac:dyDescent="0.25">
      <c r="A559" s="3">
        <v>547</v>
      </c>
      <c r="C559" s="7">
        <v>45988</v>
      </c>
      <c r="D559" s="3">
        <v>5531</v>
      </c>
      <c r="E559" s="1">
        <v>10131.59</v>
      </c>
      <c r="F559" s="3" t="s">
        <v>0</v>
      </c>
      <c r="G559" s="1">
        <v>240</v>
      </c>
      <c r="H559" s="2">
        <v>45988.427777777775</v>
      </c>
      <c r="I559" s="2">
        <v>45988.527083333334</v>
      </c>
      <c r="J559" s="1">
        <f t="shared" si="12"/>
        <v>2.3833333334187046</v>
      </c>
      <c r="K559" s="1">
        <v>100.69930069569364</v>
      </c>
      <c r="L559" s="1">
        <v>40</v>
      </c>
      <c r="M559" s="1">
        <v>0</v>
      </c>
      <c r="N559" s="1" t="s">
        <v>3</v>
      </c>
      <c r="O559" s="3"/>
      <c r="P559" s="16" t="s">
        <v>71</v>
      </c>
      <c r="S559" s="1"/>
      <c r="T559" s="1" t="s">
        <v>92</v>
      </c>
      <c r="U559" s="1">
        <v>0</v>
      </c>
      <c r="V559" s="1">
        <v>0</v>
      </c>
      <c r="W559" s="1">
        <v>0</v>
      </c>
      <c r="X559" s="1">
        <v>0</v>
      </c>
      <c r="Y559" s="1">
        <v>6</v>
      </c>
    </row>
    <row r="560" spans="1:25" x14ac:dyDescent="0.25">
      <c r="A560" s="3">
        <v>548</v>
      </c>
      <c r="C560" s="7">
        <v>45989</v>
      </c>
      <c r="D560" s="3">
        <v>5548</v>
      </c>
      <c r="E560" s="1">
        <v>10162.1</v>
      </c>
      <c r="F560" s="3" t="s">
        <v>2</v>
      </c>
      <c r="G560" s="1">
        <v>435</v>
      </c>
      <c r="H560" s="2">
        <v>45989.059027777781</v>
      </c>
      <c r="I560" s="2">
        <v>45989.28125</v>
      </c>
      <c r="J560" s="1">
        <f t="shared" si="12"/>
        <v>5.3333333332557231</v>
      </c>
      <c r="K560" s="1">
        <v>81.562500001186891</v>
      </c>
      <c r="L560" s="1">
        <v>40</v>
      </c>
      <c r="M560" s="1">
        <v>87</v>
      </c>
      <c r="N560" s="1" t="s">
        <v>5</v>
      </c>
      <c r="O560" s="3"/>
      <c r="P560" s="16"/>
      <c r="Q560" s="2">
        <v>45989.282638888886</v>
      </c>
      <c r="R560" s="2">
        <v>45989.526388888888</v>
      </c>
      <c r="S560" s="1"/>
      <c r="T560" s="1" t="s">
        <v>87</v>
      </c>
      <c r="U560" s="1">
        <v>20212</v>
      </c>
      <c r="V560" s="1">
        <v>15648.5</v>
      </c>
      <c r="W560" s="1">
        <v>165.8</v>
      </c>
      <c r="X560" s="1">
        <v>432</v>
      </c>
      <c r="Y560" s="1">
        <v>11</v>
      </c>
    </row>
    <row r="561" spans="1:25" x14ac:dyDescent="0.25">
      <c r="A561" s="3">
        <v>549</v>
      </c>
      <c r="C561" s="7">
        <v>45990</v>
      </c>
      <c r="D561" s="3">
        <v>5563</v>
      </c>
      <c r="E561" s="1">
        <v>10188.52</v>
      </c>
      <c r="F561" s="3" t="s">
        <v>2</v>
      </c>
      <c r="G561" s="1">
        <v>430</v>
      </c>
      <c r="H561" s="2">
        <v>45990.041666666664</v>
      </c>
      <c r="I561" s="2">
        <v>45990.215277777781</v>
      </c>
      <c r="J561" s="1">
        <f t="shared" si="12"/>
        <v>4.1666666668024845</v>
      </c>
      <c r="K561" s="1">
        <v>103.19999999663607</v>
      </c>
      <c r="L561" s="1">
        <v>40</v>
      </c>
      <c r="M561" s="1">
        <v>90</v>
      </c>
      <c r="N561" s="1" t="s">
        <v>3</v>
      </c>
      <c r="O561" s="3"/>
      <c r="P561" s="16" t="s">
        <v>56</v>
      </c>
      <c r="Q561" s="2">
        <v>45990.216168981482</v>
      </c>
      <c r="R561" s="2">
        <v>45990.382523148146</v>
      </c>
      <c r="S561" s="1"/>
      <c r="T561" s="1" t="s">
        <v>87</v>
      </c>
      <c r="U561" s="1">
        <v>14397</v>
      </c>
      <c r="V561" s="1">
        <v>10706</v>
      </c>
      <c r="W561" s="1">
        <v>116</v>
      </c>
      <c r="X561" s="1">
        <v>265</v>
      </c>
      <c r="Y561" s="1">
        <v>12</v>
      </c>
    </row>
    <row r="562" spans="1:25" x14ac:dyDescent="0.25">
      <c r="A562" s="3">
        <v>550</v>
      </c>
      <c r="C562" s="7">
        <v>45990</v>
      </c>
      <c r="D562" s="3">
        <v>5577</v>
      </c>
      <c r="E562" s="1">
        <v>10214.200000000001</v>
      </c>
      <c r="F562" s="3" t="s">
        <v>79</v>
      </c>
      <c r="G562" s="1">
        <v>440</v>
      </c>
      <c r="H562" s="2">
        <v>45990.844444444447</v>
      </c>
      <c r="I562" s="2">
        <v>45991.052777777775</v>
      </c>
      <c r="J562" s="1">
        <f t="shared" si="12"/>
        <v>4.9999999998835847</v>
      </c>
      <c r="K562" s="1">
        <v>88.000000002048907</v>
      </c>
      <c r="L562" s="1">
        <v>40</v>
      </c>
      <c r="M562" s="1">
        <v>85</v>
      </c>
      <c r="N562" s="1" t="s">
        <v>3</v>
      </c>
      <c r="O562" s="3"/>
      <c r="P562" s="16" t="s">
        <v>80</v>
      </c>
      <c r="Q562" s="2">
        <v>45992.309687499997</v>
      </c>
      <c r="R562" s="2">
        <v>45992.370555555557</v>
      </c>
      <c r="S562" s="1"/>
      <c r="T562" s="1" t="s">
        <v>87</v>
      </c>
      <c r="U562" s="1">
        <v>3224</v>
      </c>
      <c r="V562" s="1">
        <v>2802</v>
      </c>
      <c r="W562" s="1">
        <v>30</v>
      </c>
      <c r="X562" s="1">
        <v>88.5</v>
      </c>
      <c r="Y562" s="1">
        <v>11</v>
      </c>
    </row>
    <row r="563" spans="1:25" x14ac:dyDescent="0.25">
      <c r="A563" s="3">
        <v>551</v>
      </c>
      <c r="C563" s="7">
        <v>45992</v>
      </c>
      <c r="D563" s="3">
        <v>5591</v>
      </c>
      <c r="E563" s="1">
        <v>10239.6</v>
      </c>
      <c r="F563" s="3" t="s">
        <v>9</v>
      </c>
      <c r="G563" s="1">
        <v>240</v>
      </c>
      <c r="H563" s="2">
        <v>45992.871527777781</v>
      </c>
      <c r="I563" s="2">
        <v>45992.977777777778</v>
      </c>
      <c r="J563" s="1">
        <f t="shared" si="12"/>
        <v>2.5499999999301508</v>
      </c>
      <c r="K563" s="1">
        <v>94.117647061401584</v>
      </c>
      <c r="L563" s="1">
        <v>40</v>
      </c>
      <c r="M563" s="1">
        <v>11</v>
      </c>
      <c r="N563" s="1" t="s">
        <v>5</v>
      </c>
      <c r="O563" s="3"/>
      <c r="P563" s="16" t="s">
        <v>81</v>
      </c>
      <c r="S563" s="1"/>
      <c r="T563" s="1" t="s">
        <v>92</v>
      </c>
      <c r="U563" s="1">
        <v>0</v>
      </c>
      <c r="V563" s="1">
        <v>0</v>
      </c>
      <c r="W563" s="1">
        <v>0</v>
      </c>
      <c r="X563" s="1">
        <v>0</v>
      </c>
      <c r="Y563" s="1">
        <v>6</v>
      </c>
    </row>
    <row r="564" spans="1:25" x14ac:dyDescent="0.25">
      <c r="A564" s="3">
        <v>552</v>
      </c>
      <c r="C564" s="7">
        <v>45993</v>
      </c>
      <c r="D564" s="3">
        <v>5608</v>
      </c>
      <c r="E564" s="1">
        <v>10270.200000000001</v>
      </c>
      <c r="F564" s="3" t="s">
        <v>0</v>
      </c>
      <c r="G564" s="1">
        <v>240</v>
      </c>
      <c r="H564" s="2">
        <v>45993.493055555555</v>
      </c>
      <c r="I564" s="2">
        <v>45993.568749999999</v>
      </c>
      <c r="J564" s="1">
        <f t="shared" si="12"/>
        <v>1.8166666666511446</v>
      </c>
      <c r="K564" s="1">
        <v>132.11009174424805</v>
      </c>
      <c r="L564" s="1">
        <v>40</v>
      </c>
      <c r="M564" s="1">
        <v>1</v>
      </c>
      <c r="N564" s="1" t="s">
        <v>5</v>
      </c>
      <c r="O564" s="3"/>
      <c r="P564" s="16"/>
      <c r="S564" s="1"/>
      <c r="T564" s="1" t="s">
        <v>92</v>
      </c>
      <c r="U564" s="1">
        <v>0</v>
      </c>
      <c r="V564" s="1">
        <v>0</v>
      </c>
      <c r="W564" s="1">
        <v>0</v>
      </c>
      <c r="X564" s="1">
        <v>0</v>
      </c>
      <c r="Y564" s="1">
        <v>6</v>
      </c>
    </row>
    <row r="565" spans="1:25" x14ac:dyDescent="0.25">
      <c r="A565" s="3">
        <v>553</v>
      </c>
      <c r="C565" s="7">
        <v>45994</v>
      </c>
      <c r="D565" s="3">
        <v>5625</v>
      </c>
      <c r="E565" s="1">
        <v>10300.799999999999</v>
      </c>
      <c r="F565" s="3" t="s">
        <v>0</v>
      </c>
      <c r="G565" s="1">
        <v>240</v>
      </c>
      <c r="H565" s="2">
        <v>45994.3125</v>
      </c>
      <c r="I565" s="2">
        <v>45994.388888888891</v>
      </c>
      <c r="J565" s="1">
        <f t="shared" si="12"/>
        <v>1.8333333333721384</v>
      </c>
      <c r="K565" s="1">
        <v>130.90909090632005</v>
      </c>
      <c r="L565" s="1">
        <v>40</v>
      </c>
      <c r="M565" s="1">
        <v>2</v>
      </c>
      <c r="N565" s="1" t="s">
        <v>5</v>
      </c>
      <c r="O565" s="3"/>
      <c r="P565" s="16"/>
      <c r="S565" s="1"/>
      <c r="T565" s="1" t="s">
        <v>92</v>
      </c>
      <c r="U565" s="1">
        <v>0</v>
      </c>
      <c r="V565" s="1">
        <v>0</v>
      </c>
      <c r="W565" s="1">
        <v>0</v>
      </c>
      <c r="X565" s="1">
        <v>0</v>
      </c>
      <c r="Y565" s="1">
        <v>6</v>
      </c>
    </row>
    <row r="566" spans="1:25" x14ac:dyDescent="0.25">
      <c r="A566" s="3">
        <v>554</v>
      </c>
      <c r="C566" s="7">
        <v>45999</v>
      </c>
      <c r="D566" s="3">
        <v>5641</v>
      </c>
      <c r="E566" s="1">
        <v>10331.4</v>
      </c>
      <c r="F566" s="3" t="s">
        <v>0</v>
      </c>
      <c r="G566" s="1">
        <v>234</v>
      </c>
      <c r="H566" s="2">
        <v>45999.822916666664</v>
      </c>
      <c r="I566" s="2">
        <v>45999.970833333333</v>
      </c>
      <c r="J566" s="1">
        <f t="shared" si="12"/>
        <v>3.5500000000465661</v>
      </c>
      <c r="K566" s="1">
        <v>65.915492956881849</v>
      </c>
      <c r="L566" s="1">
        <v>40</v>
      </c>
      <c r="M566" s="1">
        <v>0</v>
      </c>
      <c r="N566" s="1" t="s">
        <v>3</v>
      </c>
      <c r="O566" s="3"/>
      <c r="P566" s="16" t="s">
        <v>82</v>
      </c>
      <c r="S566" s="1"/>
      <c r="T566" s="1" t="s">
        <v>92</v>
      </c>
      <c r="U566" s="1">
        <v>0</v>
      </c>
      <c r="V566" s="1">
        <v>0</v>
      </c>
      <c r="W566" s="1">
        <v>0</v>
      </c>
      <c r="X566" s="1">
        <v>0</v>
      </c>
      <c r="Y566" s="1">
        <v>6</v>
      </c>
    </row>
    <row r="567" spans="1:25" x14ac:dyDescent="0.25">
      <c r="A567" s="3">
        <v>555</v>
      </c>
      <c r="C567" s="7">
        <v>46000</v>
      </c>
      <c r="D567" s="3">
        <v>5658</v>
      </c>
      <c r="E567" s="1">
        <v>10360.200000000001</v>
      </c>
      <c r="F567" s="3" t="s">
        <v>0</v>
      </c>
      <c r="G567" s="1">
        <v>240</v>
      </c>
      <c r="H567" s="2">
        <v>46000.646527777775</v>
      </c>
      <c r="I567" s="2">
        <v>46000.731944444444</v>
      </c>
      <c r="J567" s="1">
        <f t="shared" si="12"/>
        <v>2.0500000000465661</v>
      </c>
      <c r="K567" s="1">
        <v>117.07317072904797</v>
      </c>
      <c r="L567" s="1">
        <v>40</v>
      </c>
      <c r="M567" s="1">
        <v>3</v>
      </c>
      <c r="N567" s="1" t="s">
        <v>3</v>
      </c>
      <c r="O567" s="3"/>
      <c r="P567" s="16" t="s">
        <v>29</v>
      </c>
      <c r="S567" s="1"/>
      <c r="T567" s="1" t="s">
        <v>92</v>
      </c>
      <c r="U567" s="1">
        <v>0</v>
      </c>
      <c r="V567" s="1">
        <v>0</v>
      </c>
      <c r="W567" s="1">
        <v>0</v>
      </c>
      <c r="X567" s="1">
        <v>0</v>
      </c>
      <c r="Y567" s="1">
        <v>6</v>
      </c>
    </row>
    <row r="568" spans="1:25" x14ac:dyDescent="0.25">
      <c r="A568" s="3">
        <v>556</v>
      </c>
      <c r="C568" s="7">
        <v>46001</v>
      </c>
      <c r="D568" s="3">
        <v>5675</v>
      </c>
      <c r="E568" s="1">
        <v>10390</v>
      </c>
      <c r="F568" s="3" t="s">
        <v>0</v>
      </c>
      <c r="G568" s="1">
        <v>198</v>
      </c>
      <c r="H568" s="2">
        <v>46001.305555555555</v>
      </c>
      <c r="I568" s="2">
        <v>46001.396527777775</v>
      </c>
      <c r="J568" s="1">
        <f t="shared" si="12"/>
        <v>2.1833333332906477</v>
      </c>
      <c r="K568" s="1">
        <v>90.687022902536356</v>
      </c>
      <c r="L568" s="1">
        <v>33</v>
      </c>
      <c r="M568" s="1">
        <v>5</v>
      </c>
      <c r="N568" s="1" t="s">
        <v>5</v>
      </c>
      <c r="O568" s="3"/>
      <c r="P568" s="16" t="s">
        <v>83</v>
      </c>
      <c r="S568" s="1"/>
      <c r="T568" s="1" t="s">
        <v>92</v>
      </c>
      <c r="U568" s="1">
        <v>0</v>
      </c>
      <c r="V568" s="1">
        <v>0</v>
      </c>
      <c r="W568" s="1">
        <v>0</v>
      </c>
      <c r="X568" s="1">
        <v>0</v>
      </c>
      <c r="Y568" s="1">
        <v>6</v>
      </c>
    </row>
    <row r="569" spans="1:25" x14ac:dyDescent="0.25">
      <c r="A569" s="3">
        <v>557</v>
      </c>
      <c r="C569" s="7">
        <v>46001</v>
      </c>
      <c r="D569" s="3">
        <v>5686</v>
      </c>
      <c r="E569" s="1">
        <v>10410</v>
      </c>
      <c r="F569" s="3" t="s">
        <v>0</v>
      </c>
      <c r="G569" s="1">
        <v>120</v>
      </c>
      <c r="H569" s="2">
        <v>46001.779861111114</v>
      </c>
      <c r="I569" s="2">
        <v>46001.824305555558</v>
      </c>
      <c r="J569" s="1">
        <f t="shared" si="12"/>
        <v>1.0666666666511446</v>
      </c>
      <c r="K569" s="1">
        <v>112.50000000163709</v>
      </c>
      <c r="L569" s="1">
        <v>40</v>
      </c>
      <c r="M569" s="1">
        <v>0</v>
      </c>
      <c r="N569" s="1" t="s">
        <v>3</v>
      </c>
      <c r="O569" s="3"/>
      <c r="P569" s="16" t="s">
        <v>84</v>
      </c>
      <c r="S569" s="1"/>
      <c r="T569" s="1" t="s">
        <v>92</v>
      </c>
      <c r="U569" s="1">
        <v>0</v>
      </c>
      <c r="V569" s="1">
        <v>0</v>
      </c>
      <c r="W569" s="1">
        <v>0</v>
      </c>
      <c r="X569" s="1">
        <v>0</v>
      </c>
      <c r="Y569" s="1">
        <v>3</v>
      </c>
    </row>
    <row r="570" spans="1:25" x14ac:dyDescent="0.25">
      <c r="A570" s="3">
        <v>558</v>
      </c>
      <c r="C570" s="7">
        <v>46002</v>
      </c>
      <c r="D570" s="3">
        <v>5703</v>
      </c>
      <c r="E570" s="1">
        <v>10441.26</v>
      </c>
      <c r="F570" s="3" t="s">
        <v>0</v>
      </c>
      <c r="G570" s="1">
        <v>50.62</v>
      </c>
      <c r="H570" s="2">
        <v>46002.547222222223</v>
      </c>
      <c r="I570" s="2">
        <v>46002.580555555556</v>
      </c>
      <c r="J570" s="1">
        <f t="shared" si="12"/>
        <v>0.79999999998835847</v>
      </c>
      <c r="K570" s="1">
        <v>63.27500000092077</v>
      </c>
      <c r="L570" s="1">
        <v>33</v>
      </c>
      <c r="M570" s="1">
        <v>0</v>
      </c>
      <c r="N570" s="1" t="s">
        <v>3</v>
      </c>
      <c r="O570" s="3"/>
      <c r="P570" s="16" t="s">
        <v>84</v>
      </c>
      <c r="S570" s="1"/>
      <c r="T570" s="1" t="s">
        <v>92</v>
      </c>
      <c r="U570" s="1">
        <v>0</v>
      </c>
      <c r="V570" s="1">
        <v>0</v>
      </c>
      <c r="W570" s="1">
        <v>0</v>
      </c>
      <c r="X570" s="1">
        <v>0</v>
      </c>
      <c r="Y570" s="1">
        <v>2</v>
      </c>
    </row>
    <row r="571" spans="1:25" x14ac:dyDescent="0.25">
      <c r="A571" s="3">
        <v>559</v>
      </c>
      <c r="C571" s="7">
        <v>46003</v>
      </c>
      <c r="D571" s="3">
        <v>5715</v>
      </c>
      <c r="E571" s="1">
        <v>10463.629999999999</v>
      </c>
      <c r="F571" s="3" t="s">
        <v>0</v>
      </c>
      <c r="G571" s="1">
        <v>120</v>
      </c>
      <c r="H571" s="2">
        <v>46003.563194444447</v>
      </c>
      <c r="I571" s="2">
        <v>46003.715277777781</v>
      </c>
      <c r="J571" s="1">
        <f t="shared" si="12"/>
        <v>3.6500000000232831</v>
      </c>
      <c r="K571" s="1">
        <v>32.876712328557403</v>
      </c>
      <c r="L571" s="1">
        <v>40</v>
      </c>
      <c r="M571" s="1">
        <v>0</v>
      </c>
      <c r="N571" s="1" t="s">
        <v>3</v>
      </c>
      <c r="O571" s="3"/>
      <c r="P571" s="16" t="s">
        <v>84</v>
      </c>
      <c r="S571" s="1"/>
      <c r="T571" s="1" t="s">
        <v>92</v>
      </c>
      <c r="U571" s="1">
        <v>0</v>
      </c>
      <c r="V571" s="1">
        <v>0</v>
      </c>
      <c r="W571" s="1">
        <v>0</v>
      </c>
      <c r="X571" s="1">
        <v>0</v>
      </c>
      <c r="Y571" s="1">
        <v>3</v>
      </c>
    </row>
    <row r="572" spans="1:25" x14ac:dyDescent="0.25">
      <c r="A572" s="3">
        <v>560</v>
      </c>
      <c r="C572" s="7">
        <v>46004</v>
      </c>
      <c r="D572" s="3">
        <v>5732</v>
      </c>
      <c r="E572" s="1">
        <v>10493.5</v>
      </c>
      <c r="F572" s="3" t="s">
        <v>0</v>
      </c>
      <c r="G572" s="1">
        <v>206.61</v>
      </c>
      <c r="H572" s="2">
        <v>46004.283333333333</v>
      </c>
      <c r="I572" s="2">
        <v>46004.372916666667</v>
      </c>
      <c r="J572" s="1">
        <f t="shared" si="12"/>
        <v>2.1500000000232831</v>
      </c>
      <c r="K572" s="1">
        <v>96.097674417563979</v>
      </c>
      <c r="L572" s="1">
        <v>40</v>
      </c>
      <c r="M572" s="1">
        <v>31</v>
      </c>
      <c r="N572" s="1" t="s">
        <v>5</v>
      </c>
      <c r="O572" s="3"/>
      <c r="P572" s="16"/>
      <c r="S572" s="1"/>
      <c r="T572" s="1" t="s">
        <v>92</v>
      </c>
      <c r="U572" s="1">
        <v>0</v>
      </c>
      <c r="V572" s="1">
        <v>0</v>
      </c>
      <c r="W572" s="1">
        <v>0</v>
      </c>
      <c r="X572" s="1">
        <v>0</v>
      </c>
      <c r="Y572" s="1">
        <v>6</v>
      </c>
    </row>
    <row r="573" spans="1:25" x14ac:dyDescent="0.25">
      <c r="A573" s="3">
        <v>561</v>
      </c>
      <c r="C573" s="7">
        <v>46004</v>
      </c>
      <c r="D573" s="3">
        <v>5748</v>
      </c>
      <c r="E573" s="1">
        <v>10522.25</v>
      </c>
      <c r="F573" s="3" t="s">
        <v>0</v>
      </c>
      <c r="G573" s="1">
        <v>240</v>
      </c>
      <c r="H573" s="2">
        <v>46004.862500000003</v>
      </c>
      <c r="I573" s="2">
        <v>46004.982638888891</v>
      </c>
      <c r="J573" s="1">
        <f t="shared" si="12"/>
        <v>2.8833333333022892</v>
      </c>
      <c r="K573" s="1">
        <v>83.236994220549363</v>
      </c>
      <c r="L573" s="1">
        <v>40</v>
      </c>
      <c r="M573" s="1">
        <v>11</v>
      </c>
      <c r="N573" s="1" t="s">
        <v>5</v>
      </c>
      <c r="O573" s="3"/>
      <c r="P573" s="16"/>
      <c r="S573" s="1"/>
      <c r="T573" s="1" t="s">
        <v>92</v>
      </c>
      <c r="U573" s="1">
        <v>0</v>
      </c>
      <c r="V573" s="1">
        <v>0</v>
      </c>
      <c r="W573" s="1">
        <v>0</v>
      </c>
      <c r="X573" s="1">
        <v>0</v>
      </c>
      <c r="Y573" s="1">
        <v>6</v>
      </c>
    </row>
    <row r="574" spans="1:25" x14ac:dyDescent="0.25">
      <c r="A574" s="3">
        <v>562</v>
      </c>
      <c r="C574" s="7">
        <v>46006</v>
      </c>
      <c r="D574" s="3">
        <v>5764</v>
      </c>
      <c r="E574" s="1">
        <v>10551.67</v>
      </c>
      <c r="F574" s="3" t="s">
        <v>0</v>
      </c>
      <c r="G574" s="1">
        <v>240</v>
      </c>
      <c r="H574" s="2">
        <v>46006.972222222219</v>
      </c>
      <c r="I574" s="2">
        <v>46007.0625</v>
      </c>
      <c r="J574" s="1">
        <f t="shared" si="12"/>
        <v>2.1666666667442769</v>
      </c>
      <c r="K574" s="1">
        <v>110.769230765263</v>
      </c>
      <c r="L574" s="1">
        <v>40</v>
      </c>
      <c r="M574" s="1">
        <v>4</v>
      </c>
      <c r="N574" s="1" t="s">
        <v>5</v>
      </c>
      <c r="O574" s="3"/>
      <c r="P574" s="16"/>
      <c r="S574" s="1"/>
      <c r="T574" s="1" t="s">
        <v>92</v>
      </c>
      <c r="U574" s="1">
        <v>0</v>
      </c>
      <c r="V574" s="1">
        <v>0</v>
      </c>
      <c r="W574" s="1">
        <v>0</v>
      </c>
      <c r="X574" s="1">
        <v>0</v>
      </c>
      <c r="Y574" s="1">
        <v>6</v>
      </c>
    </row>
    <row r="575" spans="1:25" x14ac:dyDescent="0.25">
      <c r="A575" s="3">
        <v>563</v>
      </c>
      <c r="C575" s="7">
        <v>46008</v>
      </c>
      <c r="D575" s="3">
        <v>5781</v>
      </c>
      <c r="E575" s="1">
        <v>10581</v>
      </c>
      <c r="F575" s="3" t="s">
        <v>0</v>
      </c>
      <c r="G575" s="1">
        <v>240</v>
      </c>
      <c r="H575" s="2">
        <v>46008.930555555555</v>
      </c>
      <c r="I575" s="2">
        <v>46009.045138888891</v>
      </c>
      <c r="J575" s="1">
        <f t="shared" si="12"/>
        <v>2.7500000000582077</v>
      </c>
      <c r="K575" s="1">
        <v>87.272727270880026</v>
      </c>
      <c r="L575" s="1">
        <v>40</v>
      </c>
      <c r="M575" s="1">
        <v>0.5</v>
      </c>
      <c r="N575" s="1" t="s">
        <v>5</v>
      </c>
      <c r="O575" s="3"/>
      <c r="P575" s="16"/>
      <c r="S575" s="1"/>
      <c r="T575" s="1" t="s">
        <v>92</v>
      </c>
      <c r="U575" s="1">
        <v>0</v>
      </c>
      <c r="V575" s="1">
        <v>0</v>
      </c>
      <c r="W575" s="1">
        <v>0</v>
      </c>
      <c r="X575" s="1">
        <v>0</v>
      </c>
      <c r="Y575" s="1">
        <v>6</v>
      </c>
    </row>
    <row r="576" spans="1:25" x14ac:dyDescent="0.25">
      <c r="A576" s="3">
        <v>564</v>
      </c>
      <c r="C576" s="7">
        <v>46009</v>
      </c>
      <c r="D576" s="3">
        <v>5798</v>
      </c>
      <c r="E576" s="1">
        <v>10612.37</v>
      </c>
      <c r="F576" s="3" t="s">
        <v>0</v>
      </c>
      <c r="G576" s="1">
        <v>360</v>
      </c>
      <c r="H576" s="2">
        <v>46009.668749999997</v>
      </c>
      <c r="I576" s="2">
        <v>46009.819444444445</v>
      </c>
      <c r="J576" s="1">
        <f t="shared" si="12"/>
        <v>3.6166666667559184</v>
      </c>
      <c r="K576" s="1">
        <v>99.539170504456024</v>
      </c>
      <c r="L576" s="1">
        <v>40</v>
      </c>
      <c r="M576" s="1">
        <v>1</v>
      </c>
      <c r="N576" s="1" t="s">
        <v>5</v>
      </c>
      <c r="O576" s="3"/>
      <c r="P576" s="16"/>
      <c r="S576" s="1"/>
      <c r="T576" s="1" t="s">
        <v>92</v>
      </c>
      <c r="U576" s="1">
        <v>0</v>
      </c>
      <c r="V576" s="1">
        <v>0</v>
      </c>
      <c r="W576" s="1">
        <v>0</v>
      </c>
      <c r="X576" s="1">
        <v>0</v>
      </c>
      <c r="Y576" s="1">
        <v>9</v>
      </c>
    </row>
    <row r="577" spans="1:25" x14ac:dyDescent="0.25">
      <c r="A577" s="3">
        <v>565</v>
      </c>
      <c r="C577" s="7">
        <v>46010</v>
      </c>
      <c r="D577" s="3">
        <v>5815</v>
      </c>
      <c r="E577" s="1">
        <v>10642.74</v>
      </c>
      <c r="F577" s="3" t="s">
        <v>2</v>
      </c>
      <c r="G577" s="1">
        <v>480</v>
      </c>
      <c r="H577" s="2">
        <v>46010.436111111114</v>
      </c>
      <c r="I577" s="2">
        <v>46010.585416666669</v>
      </c>
      <c r="J577" s="1">
        <f t="shared" si="12"/>
        <v>3.5833333333139308</v>
      </c>
      <c r="K577" s="1">
        <v>133.95348837281833</v>
      </c>
      <c r="L577" s="1">
        <v>40</v>
      </c>
      <c r="M577" s="1">
        <v>0</v>
      </c>
      <c r="N577" s="1" t="s">
        <v>5</v>
      </c>
      <c r="O577" s="3"/>
      <c r="P577" s="16"/>
      <c r="Q577" s="2">
        <v>46010.592673611114</v>
      </c>
      <c r="R577" s="2">
        <v>46010.636250000003</v>
      </c>
      <c r="S577" s="1"/>
      <c r="T577" s="1" t="s">
        <v>87</v>
      </c>
      <c r="U577" s="1">
        <v>2518</v>
      </c>
      <c r="V577" s="1">
        <v>1839.1</v>
      </c>
      <c r="W577" s="1">
        <v>18.399999999999999</v>
      </c>
      <c r="X577" s="1">
        <v>54.4</v>
      </c>
      <c r="Y577" s="1">
        <v>12</v>
      </c>
    </row>
    <row r="578" spans="1:25" x14ac:dyDescent="0.25">
      <c r="A578" s="3">
        <v>566</v>
      </c>
      <c r="C578" s="7">
        <v>46027</v>
      </c>
      <c r="D578" s="3">
        <v>5831</v>
      </c>
      <c r="E578" s="1">
        <v>10673.41</v>
      </c>
      <c r="F578" s="3" t="s">
        <v>0</v>
      </c>
      <c r="G578" s="1">
        <v>240</v>
      </c>
      <c r="H578" s="2">
        <v>46027.319444444445</v>
      </c>
      <c r="I578" s="2">
        <v>46027.427083333336</v>
      </c>
      <c r="J578" s="1">
        <f t="shared" ref="J578:J589" si="13">(I578-H578)*24</f>
        <v>2.5833333333721384</v>
      </c>
      <c r="K578" s="1">
        <v>92.903225805056081</v>
      </c>
      <c r="L578" s="1">
        <v>40</v>
      </c>
      <c r="M578" s="1">
        <v>0</v>
      </c>
      <c r="N578" s="1" t="s">
        <v>5</v>
      </c>
      <c r="O578" s="3"/>
      <c r="P578" s="16"/>
      <c r="S578" s="1"/>
      <c r="T578" s="1" t="s">
        <v>92</v>
      </c>
      <c r="U578" s="1">
        <v>0</v>
      </c>
      <c r="V578" s="1">
        <v>0</v>
      </c>
      <c r="W578" s="1">
        <v>0</v>
      </c>
      <c r="X578" s="1">
        <v>0</v>
      </c>
      <c r="Y578" s="1">
        <v>6</v>
      </c>
    </row>
    <row r="579" spans="1:25" x14ac:dyDescent="0.25">
      <c r="A579" s="3">
        <v>567</v>
      </c>
      <c r="C579" s="7">
        <v>46028</v>
      </c>
      <c r="D579" s="3">
        <v>5848</v>
      </c>
      <c r="E579" s="1">
        <v>10702</v>
      </c>
      <c r="F579" s="3" t="s">
        <v>0</v>
      </c>
      <c r="G579" s="1">
        <v>240</v>
      </c>
      <c r="H579" s="2">
        <v>46028.569444444445</v>
      </c>
      <c r="I579" s="2">
        <v>46028.663194444445</v>
      </c>
      <c r="J579" s="1">
        <f t="shared" si="13"/>
        <v>2.25</v>
      </c>
      <c r="K579" s="1">
        <v>106.66666666666667</v>
      </c>
      <c r="L579" s="1">
        <v>40</v>
      </c>
      <c r="M579" s="1">
        <v>1</v>
      </c>
      <c r="N579" s="1" t="s">
        <v>5</v>
      </c>
      <c r="O579" s="3"/>
      <c r="P579" s="16"/>
      <c r="S579" s="1"/>
      <c r="T579" s="1" t="s">
        <v>92</v>
      </c>
      <c r="U579" s="1">
        <v>0</v>
      </c>
      <c r="V579" s="1">
        <v>0</v>
      </c>
      <c r="W579" s="1">
        <v>0</v>
      </c>
      <c r="X579" s="1">
        <v>0</v>
      </c>
      <c r="Y579" s="1">
        <v>6</v>
      </c>
    </row>
    <row r="580" spans="1:25" x14ac:dyDescent="0.25">
      <c r="A580" s="3">
        <v>568</v>
      </c>
      <c r="C580" s="7">
        <v>46029</v>
      </c>
      <c r="D580" s="3">
        <v>5865</v>
      </c>
      <c r="E580" s="1">
        <v>10732.5</v>
      </c>
      <c r="F580" s="3" t="s">
        <v>0</v>
      </c>
      <c r="G580" s="1">
        <v>240</v>
      </c>
      <c r="H580" s="2">
        <v>46029.440972222219</v>
      </c>
      <c r="I580" s="2">
        <v>46029.548611111109</v>
      </c>
      <c r="J580" s="1">
        <f t="shared" si="13"/>
        <v>2.5833333333721384</v>
      </c>
      <c r="K580" s="1">
        <v>92.903225805056081</v>
      </c>
      <c r="L580" s="1">
        <v>40</v>
      </c>
      <c r="M580" s="1">
        <v>1</v>
      </c>
      <c r="N580" s="1" t="s">
        <v>5</v>
      </c>
      <c r="O580" s="3"/>
      <c r="P580" s="16"/>
      <c r="S580" s="1"/>
      <c r="T580" s="1" t="s">
        <v>92</v>
      </c>
      <c r="U580" s="1">
        <v>0</v>
      </c>
      <c r="V580" s="1">
        <v>0</v>
      </c>
      <c r="W580" s="1">
        <v>0</v>
      </c>
      <c r="X580" s="1">
        <v>0</v>
      </c>
      <c r="Y580" s="1">
        <v>6</v>
      </c>
    </row>
    <row r="581" spans="1:25" x14ac:dyDescent="0.25">
      <c r="A581" s="3">
        <v>569</v>
      </c>
      <c r="C581" s="7">
        <v>46029</v>
      </c>
      <c r="D581" s="3">
        <v>5882</v>
      </c>
      <c r="E581" s="1">
        <v>10763.4</v>
      </c>
      <c r="F581" s="3" t="s">
        <v>0</v>
      </c>
      <c r="G581" s="1">
        <v>240</v>
      </c>
      <c r="H581" s="2">
        <v>46030.104861111111</v>
      </c>
      <c r="I581" s="2">
        <v>46030.188194444447</v>
      </c>
      <c r="J581" s="1">
        <f t="shared" si="13"/>
        <v>2.0000000000582077</v>
      </c>
      <c r="K581" s="1">
        <v>119.99999999650754</v>
      </c>
      <c r="L581" s="1">
        <v>40</v>
      </c>
      <c r="M581" s="1">
        <v>0.5</v>
      </c>
      <c r="N581" s="1" t="s">
        <v>3</v>
      </c>
      <c r="O581" s="3"/>
      <c r="P581" s="16"/>
      <c r="S581" s="1"/>
      <c r="T581" s="1" t="s">
        <v>92</v>
      </c>
      <c r="U581" s="1">
        <v>0</v>
      </c>
      <c r="V581" s="1">
        <v>0</v>
      </c>
      <c r="W581" s="1">
        <v>0</v>
      </c>
      <c r="X581" s="1">
        <v>0</v>
      </c>
      <c r="Y581" s="1">
        <v>6</v>
      </c>
    </row>
    <row r="582" spans="1:25" x14ac:dyDescent="0.25">
      <c r="A582" s="3">
        <v>570</v>
      </c>
      <c r="C582" s="7">
        <v>46030</v>
      </c>
      <c r="D582" s="3">
        <v>5899</v>
      </c>
      <c r="E582" s="1">
        <v>10793.32</v>
      </c>
      <c r="F582" s="3" t="s">
        <v>0</v>
      </c>
      <c r="G582" s="1">
        <v>230</v>
      </c>
      <c r="H582" s="2">
        <v>46030.947916666664</v>
      </c>
      <c r="I582" s="2">
        <v>46031.052083333336</v>
      </c>
      <c r="J582" s="1">
        <f t="shared" si="13"/>
        <v>2.5000000001164153</v>
      </c>
      <c r="K582" s="1">
        <v>91.99999999571591</v>
      </c>
      <c r="L582" s="1">
        <v>40</v>
      </c>
      <c r="M582" s="1">
        <v>2</v>
      </c>
      <c r="N582" s="1" t="s">
        <v>3</v>
      </c>
      <c r="O582" s="3"/>
      <c r="P582" s="16"/>
      <c r="S582" s="1"/>
      <c r="T582" s="1" t="s">
        <v>92</v>
      </c>
      <c r="U582" s="1">
        <v>0</v>
      </c>
      <c r="V582" s="1">
        <v>0</v>
      </c>
      <c r="W582" s="1">
        <v>0</v>
      </c>
      <c r="X582" s="1">
        <v>0</v>
      </c>
      <c r="Y582" s="1">
        <v>6</v>
      </c>
    </row>
    <row r="583" spans="1:25" x14ac:dyDescent="0.25">
      <c r="A583" s="3">
        <v>571</v>
      </c>
      <c r="C583" s="7">
        <v>46031</v>
      </c>
      <c r="D583" s="3">
        <v>5916</v>
      </c>
      <c r="E583" s="1">
        <v>10824.49</v>
      </c>
      <c r="F583" s="3" t="s">
        <v>0</v>
      </c>
      <c r="G583" s="1">
        <v>240</v>
      </c>
      <c r="H583" s="2">
        <v>46032.076388888891</v>
      </c>
      <c r="I583" s="2">
        <v>46032.169444444444</v>
      </c>
      <c r="J583" s="1">
        <f t="shared" si="13"/>
        <v>2.2333333332790062</v>
      </c>
      <c r="K583" s="1">
        <v>107.46268656977827</v>
      </c>
      <c r="L583" s="1">
        <v>40</v>
      </c>
      <c r="M583" s="1">
        <v>14</v>
      </c>
      <c r="N583" s="1" t="s">
        <v>3</v>
      </c>
      <c r="O583" s="3"/>
      <c r="P583" s="16"/>
      <c r="S583" s="1"/>
      <c r="T583" s="1" t="s">
        <v>92</v>
      </c>
      <c r="U583" s="1">
        <v>0</v>
      </c>
      <c r="V583" s="1">
        <v>0</v>
      </c>
      <c r="W583" s="1">
        <v>0</v>
      </c>
      <c r="X583" s="1">
        <v>0</v>
      </c>
      <c r="Y583" s="1">
        <v>6</v>
      </c>
    </row>
    <row r="584" spans="1:25" x14ac:dyDescent="0.25">
      <c r="A584" s="3">
        <v>572</v>
      </c>
      <c r="C584" s="7">
        <v>46032</v>
      </c>
      <c r="D584" s="3">
        <v>5933</v>
      </c>
      <c r="E584" s="1">
        <v>10855.04</v>
      </c>
      <c r="F584" s="3" t="s">
        <v>0</v>
      </c>
      <c r="G584" s="1">
        <v>235</v>
      </c>
      <c r="H584" s="2">
        <v>46032.711805555555</v>
      </c>
      <c r="I584" s="2">
        <v>46032.788194444445</v>
      </c>
      <c r="J584" s="1">
        <f t="shared" si="13"/>
        <v>1.8333333333721384</v>
      </c>
      <c r="K584" s="1">
        <v>128.18181817910502</v>
      </c>
      <c r="L584" s="1">
        <v>40</v>
      </c>
      <c r="M584" s="1">
        <v>2</v>
      </c>
      <c r="N584" s="1" t="s">
        <v>3</v>
      </c>
      <c r="O584" s="3"/>
      <c r="P584" s="16"/>
      <c r="S584" s="1"/>
      <c r="T584" s="1" t="s">
        <v>92</v>
      </c>
      <c r="U584" s="1">
        <v>0</v>
      </c>
      <c r="V584" s="1">
        <v>0</v>
      </c>
      <c r="W584" s="1">
        <v>0</v>
      </c>
      <c r="X584" s="1">
        <v>0</v>
      </c>
      <c r="Y584" s="1">
        <v>6</v>
      </c>
    </row>
    <row r="585" spans="1:25" x14ac:dyDescent="0.25">
      <c r="A585" s="3">
        <v>573</v>
      </c>
      <c r="C585" s="7">
        <v>46034</v>
      </c>
      <c r="D585" s="3">
        <v>5950</v>
      </c>
      <c r="E585" s="1">
        <v>10885</v>
      </c>
      <c r="F585" s="3" t="s">
        <v>2</v>
      </c>
      <c r="G585" s="1">
        <v>470</v>
      </c>
      <c r="H585" s="2">
        <v>46034.5</v>
      </c>
      <c r="I585" s="2">
        <v>46034.715277777781</v>
      </c>
      <c r="J585" s="1">
        <f t="shared" si="13"/>
        <v>5.1666666667442769</v>
      </c>
      <c r="K585" s="1">
        <v>90.967741934117413</v>
      </c>
      <c r="L585" s="1">
        <v>40</v>
      </c>
      <c r="M585" s="1">
        <v>233</v>
      </c>
      <c r="N585" s="1" t="s">
        <v>5</v>
      </c>
      <c r="O585" s="3"/>
      <c r="P585" s="16" t="s">
        <v>85</v>
      </c>
      <c r="Q585" s="2">
        <v>46034.723912037036</v>
      </c>
      <c r="R585" s="2">
        <v>46034.895277777781</v>
      </c>
      <c r="S585" s="1"/>
      <c r="T585" s="1" t="s">
        <v>87</v>
      </c>
      <c r="U585" s="1">
        <v>13469</v>
      </c>
      <c r="V585" s="1">
        <v>7594</v>
      </c>
      <c r="W585" s="1">
        <v>90</v>
      </c>
      <c r="X585" s="1">
        <v>257</v>
      </c>
      <c r="Y585" s="1">
        <v>12</v>
      </c>
    </row>
    <row r="586" spans="1:25" x14ac:dyDescent="0.25">
      <c r="A586" s="3">
        <v>574</v>
      </c>
      <c r="C586" s="7">
        <v>46035</v>
      </c>
      <c r="D586" s="3">
        <v>5964</v>
      </c>
      <c r="E586" s="1">
        <v>10910</v>
      </c>
      <c r="F586" s="3" t="s">
        <v>2</v>
      </c>
      <c r="G586" s="1">
        <v>274</v>
      </c>
      <c r="H586" s="2">
        <v>46035.383333333331</v>
      </c>
      <c r="I586" s="2">
        <v>46035.597222222219</v>
      </c>
      <c r="J586" s="1">
        <f t="shared" si="13"/>
        <v>5.1333333333022892</v>
      </c>
      <c r="K586" s="1">
        <v>53.376623376946178</v>
      </c>
      <c r="L586" s="1">
        <v>40</v>
      </c>
      <c r="M586" s="1">
        <v>190</v>
      </c>
      <c r="N586" s="1" t="s">
        <v>5</v>
      </c>
      <c r="O586" s="3"/>
      <c r="P586" s="16"/>
      <c r="Q586" s="2">
        <v>46035.602534722224</v>
      </c>
      <c r="R586" s="2">
        <v>46036.105439814812</v>
      </c>
      <c r="S586" s="1"/>
      <c r="T586" s="1" t="s">
        <v>87</v>
      </c>
      <c r="U586" s="1">
        <v>12659</v>
      </c>
      <c r="V586" s="1">
        <v>9177</v>
      </c>
      <c r="W586" s="1">
        <v>102</v>
      </c>
      <c r="X586" s="1">
        <v>257</v>
      </c>
      <c r="Y586" s="1">
        <v>9</v>
      </c>
    </row>
    <row r="587" spans="1:25" x14ac:dyDescent="0.25">
      <c r="A587" s="3">
        <v>575</v>
      </c>
      <c r="C587" s="7">
        <v>46036</v>
      </c>
      <c r="D587" s="3">
        <v>5979</v>
      </c>
      <c r="E587" s="1">
        <v>10938</v>
      </c>
      <c r="F587" s="3" t="s">
        <v>0</v>
      </c>
      <c r="G587" s="1">
        <v>225</v>
      </c>
      <c r="H587" s="2">
        <v>46036.743055555555</v>
      </c>
      <c r="I587" s="2">
        <v>46036.836805555555</v>
      </c>
      <c r="J587" s="1">
        <f t="shared" si="13"/>
        <v>2.25</v>
      </c>
      <c r="K587" s="1">
        <v>100</v>
      </c>
      <c r="L587" s="1">
        <v>40</v>
      </c>
      <c r="M587" s="1">
        <v>9</v>
      </c>
      <c r="N587" s="1" t="s">
        <v>3</v>
      </c>
      <c r="O587" s="3"/>
      <c r="P587" s="16" t="s">
        <v>86</v>
      </c>
      <c r="S587" s="1"/>
      <c r="T587" s="1" t="s">
        <v>92</v>
      </c>
      <c r="U587" s="1">
        <v>0</v>
      </c>
      <c r="V587" s="1">
        <v>0</v>
      </c>
      <c r="W587" s="1">
        <v>0</v>
      </c>
      <c r="X587" s="1">
        <v>0</v>
      </c>
      <c r="Y587" s="1">
        <v>6</v>
      </c>
    </row>
    <row r="588" spans="1:25" x14ac:dyDescent="0.25">
      <c r="A588" s="3">
        <v>576</v>
      </c>
      <c r="C588" s="7">
        <v>46037</v>
      </c>
      <c r="D588" s="3">
        <v>5999</v>
      </c>
      <c r="E588" s="1">
        <v>10974.11</v>
      </c>
      <c r="F588" s="3" t="s">
        <v>0</v>
      </c>
      <c r="G588" s="1">
        <v>232</v>
      </c>
      <c r="H588" s="2">
        <v>46037.479166666664</v>
      </c>
      <c r="I588" s="2">
        <v>46037.548611111109</v>
      </c>
      <c r="J588" s="1">
        <f t="shared" si="13"/>
        <v>1.6666666666860692</v>
      </c>
      <c r="K588" s="1">
        <v>139.1999999983795</v>
      </c>
      <c r="L588" s="1">
        <v>40</v>
      </c>
      <c r="M588" s="1">
        <v>10</v>
      </c>
      <c r="N588" s="1" t="s">
        <v>5</v>
      </c>
      <c r="O588" s="3"/>
      <c r="P588" s="16"/>
      <c r="S588" s="1"/>
      <c r="T588" s="1" t="s">
        <v>92</v>
      </c>
      <c r="U588" s="1">
        <v>0</v>
      </c>
      <c r="V588" s="1">
        <v>0</v>
      </c>
      <c r="W588" s="1">
        <v>0</v>
      </c>
      <c r="X588" s="1">
        <v>0</v>
      </c>
      <c r="Y588" s="1">
        <v>6</v>
      </c>
    </row>
    <row r="589" spans="1:25" x14ac:dyDescent="0.25">
      <c r="A589" s="3">
        <v>577</v>
      </c>
      <c r="C589" s="7">
        <v>46038</v>
      </c>
      <c r="D589" s="3">
        <v>6019</v>
      </c>
      <c r="E589" s="1">
        <v>11009</v>
      </c>
      <c r="F589" s="3" t="s">
        <v>2</v>
      </c>
      <c r="G589" s="1">
        <v>470</v>
      </c>
      <c r="H589" s="2">
        <v>46038.293055555558</v>
      </c>
      <c r="I589" s="2">
        <v>46038.559027777781</v>
      </c>
      <c r="J589" s="1">
        <f t="shared" si="13"/>
        <v>6.3833333333604969</v>
      </c>
      <c r="K589" s="1">
        <v>73.62924281953002</v>
      </c>
      <c r="L589" s="1">
        <v>40</v>
      </c>
      <c r="M589" s="1">
        <v>5</v>
      </c>
      <c r="N589" s="1" t="s">
        <v>5</v>
      </c>
      <c r="O589" s="3"/>
      <c r="P589" s="16"/>
      <c r="Q589" s="2">
        <v>46038.560011574074</v>
      </c>
      <c r="R589" s="2">
        <v>46038.609201388892</v>
      </c>
      <c r="S589" s="1"/>
      <c r="T589" s="1" t="s">
        <v>87</v>
      </c>
      <c r="U589" s="1">
        <v>2266</v>
      </c>
      <c r="V589" s="1">
        <v>1586.9</v>
      </c>
      <c r="W589" s="1">
        <v>15.999999999999998</v>
      </c>
      <c r="X589" s="1">
        <v>47.29999999999999</v>
      </c>
      <c r="Y589" s="1">
        <v>11</v>
      </c>
    </row>
  </sheetData>
  <conditionalFormatting sqref="K589:Y589 A589:I589 A1:Y1">
    <cfRule type="expression" dxfId="11" priority="24">
      <formula>#REF!&lt;&gt;#REF!</formula>
    </cfRule>
  </conditionalFormatting>
  <conditionalFormatting sqref="F2:I577 A577:D577 A578:I588 J2:J589 A1048485:P1048576 A590:R1048484 A2:E576 K2:Y588">
    <cfRule type="expression" dxfId="10" priority="18">
      <formula>#REF!&lt;&gt;#REF!</formula>
    </cfRule>
  </conditionalFormatting>
  <conditionalFormatting sqref="F1:F1048576">
    <cfRule type="cellIs" dxfId="9" priority="16" operator="equal">
      <formula>"Probe"</formula>
    </cfRule>
  </conditionalFormatting>
  <conditionalFormatting sqref="K1:K1048576">
    <cfRule type="colorScale" priority="21">
      <colorScale>
        <cfvo type="num" val="0"/>
        <cfvo type="num" val="65"/>
        <cfvo type="num" val="200"/>
        <color theme="5" tint="0.79998168889431442"/>
        <color theme="9" tint="0.79998168889431442"/>
        <color theme="9" tint="-0.249977111117893"/>
      </colorScale>
    </cfRule>
  </conditionalFormatting>
  <conditionalFormatting sqref="M1:M1048576">
    <cfRule type="colorScale" priority="17">
      <colorScale>
        <cfvo type="num" val="0"/>
        <cfvo type="num" val="5"/>
        <cfvo type="num" val="100"/>
        <color theme="0"/>
        <color theme="8" tint="0.79998168889431442"/>
        <color theme="8" tint="-0.499984740745262"/>
      </colorScale>
    </cfRule>
  </conditionalFormatting>
  <conditionalFormatting sqref="N1:N589">
    <cfRule type="cellIs" dxfId="8" priority="19" operator="equal">
      <formula>"Yes"</formula>
    </cfRule>
  </conditionalFormatting>
  <conditionalFormatting sqref="N1:N1048576">
    <cfRule type="cellIs" dxfId="7" priority="20" operator="equal">
      <formula>"No"</formula>
    </cfRule>
  </conditionalFormatting>
  <conditionalFormatting sqref="E577">
    <cfRule type="expression" dxfId="6" priority="140">
      <formula>#REF!="No grouting"</formula>
    </cfRule>
    <cfRule type="expression" dxfId="5" priority="141">
      <formula>#REF!&lt;&gt;#REF!</formula>
    </cfRule>
  </conditionalFormatting>
  <conditionalFormatting sqref="Q1048485:R1048573">
    <cfRule type="expression" dxfId="4" priority="6">
      <formula>#REF!&lt;&gt;#REF!</formula>
    </cfRule>
  </conditionalFormatting>
  <conditionalFormatting sqref="Q1048574:R1048576">
    <cfRule type="expression" dxfId="3" priority="5">
      <formula>#REF!&lt;&gt;#REF!</formula>
    </cfRule>
  </conditionalFormatting>
  <conditionalFormatting sqref="S590:Y1048484">
    <cfRule type="expression" dxfId="2" priority="1">
      <formula>#REF!&lt;&gt;#REF!</formula>
    </cfRule>
  </conditionalFormatting>
  <conditionalFormatting sqref="S1048485:Y1048573">
    <cfRule type="expression" dxfId="1" priority="3">
      <formula>#REF!&lt;&gt;#REF!</formula>
    </cfRule>
  </conditionalFormatting>
  <conditionalFormatting sqref="S1048574:Y1048576">
    <cfRule type="expression" dxfId="0" priority="2">
      <formula>#REF!&lt;&gt;#REF!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  <SharedWithUsers xmlns="43a0399c-d29d-4c9d-ba42-4c1fa17b3ed0">
      <UserInfo>
        <DisplayName>Roger Gården</DisplayName>
        <AccountId>43</AccountId>
        <AccountType/>
      </UserInfo>
      <UserInfo>
        <DisplayName>Torgils Rekve</DisplayName>
        <AccountId>57</AccountId>
        <AccountType/>
      </UserInfo>
      <UserInfo>
        <DisplayName>Jardar Tenold</DisplayName>
        <AccountId>55</AccountId>
        <AccountType/>
      </UserInfo>
      <UserInfo>
        <DisplayName>Przemyslaw Kilian</DisplayName>
        <AccountId>261</AccountId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20" ma:contentTypeDescription="Opprett et nytt dokument." ma:contentTypeScope="" ma:versionID="25fb6b7d2b9e420d47fefb8809cf9f88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10dafb62b0ca0702cc92f980f93fa400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C7BF4E-7851-47CF-913E-E3D40EC2D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947F70-69AB-443B-B116-12C741CB2BE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F396863-FA10-4BF3-AC18-8E70F7929107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customXml/itemProps4.xml><?xml version="1.0" encoding="utf-8"?>
<ds:datastoreItem xmlns:ds="http://schemas.openxmlformats.org/officeDocument/2006/customXml" ds:itemID="{FDD31F54-20E5-4D8B-B059-D550601185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pregrouting_data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Przemyslaw Kilian</dc:creator>
  <cp:keywords/>
  <dc:description/>
  <cp:lastModifiedBy>Kåre Viga Skretting</cp:lastModifiedBy>
  <cp:revision/>
  <dcterms:created xsi:type="dcterms:W3CDTF">2024-01-12T15:11:43Z</dcterms:created>
  <dcterms:modified xsi:type="dcterms:W3CDTF">2026-03-27T09:58:39Z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